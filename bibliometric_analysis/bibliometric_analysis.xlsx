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bliometric Table" sheetId="1" state="visible" r:id="rId1"/>
    <sheet xmlns:r="http://schemas.openxmlformats.org/officeDocument/2006/relationships" name="Summary" sheetId="2" state="visible" r:id="rId2"/>
  </sheets>
  <definedNames>
    <definedName name="_xlnm._FilterDatabase" localSheetId="0" hidden="1">'Bibliometric Table'!$A$1:$K$153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font>
    <font>
      <name val="Arial"/>
      <sz val="10"/>
    </font>
    <font>
      <name val="Arial"/>
      <b val="1"/>
      <sz val="13"/>
    </font>
    <font>
      <name val="Arial"/>
    </font>
    <font>
      <name val="Arial"/>
      <b val="1"/>
    </font>
    <font>
      <name val="Arial"/>
      <i val="1"/>
      <sz val="9"/>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60" customWidth="1" min="3" max="3"/>
    <col width="45" customWidth="1" min="4" max="4"/>
    <col width="7" customWidth="1" min="5" max="5"/>
    <col width="35" customWidth="1" min="6" max="6"/>
    <col width="18" customWidth="1" min="7" max="7"/>
    <col width="14" customWidth="1" min="8" max="8"/>
    <col width="30" customWidth="1" min="9" max="9"/>
    <col width="14" customWidth="1" min="10" max="10"/>
    <col width="10" customWidth="1" min="11" max="11"/>
  </cols>
  <sheetData>
    <row r="1">
      <c r="A1" s="1" t="inlineStr">
        <is>
          <t>#</t>
        </is>
      </c>
      <c r="B1" s="1" t="inlineStr">
        <is>
          <t>BibTeX Key</t>
        </is>
      </c>
      <c r="C1" s="1" t="inlineStr">
        <is>
          <t>Title</t>
        </is>
      </c>
      <c r="D1" s="1" t="inlineStr">
        <is>
          <t>Authors</t>
        </is>
      </c>
      <c r="E1" s="1" t="inlineStr">
        <is>
          <t>Year</t>
        </is>
      </c>
      <c r="F1" s="1" t="inlineStr">
        <is>
          <t>Journal / Source</t>
        </is>
      </c>
      <c r="G1" s="1" t="inlineStr">
        <is>
          <t>First-Author Country</t>
        </is>
      </c>
      <c r="H1" s="1" t="inlineStr">
        <is>
          <t>Global Citations (OpenAlex)</t>
        </is>
      </c>
      <c r="I1" s="1" t="inlineStr">
        <is>
          <t>DOI</t>
        </is>
      </c>
      <c r="J1" s="1" t="inlineStr">
        <is>
          <t>OpenAlex ID</t>
        </is>
      </c>
      <c r="K1" s="1" t="inlineStr">
        <is>
          <t>Match Method</t>
        </is>
      </c>
    </row>
    <row r="2">
      <c r="A2" s="2" t="n">
        <v>1</v>
      </c>
      <c r="B2" s="2" t="inlineStr">
        <is>
          <t>Duan2022</t>
        </is>
      </c>
      <c r="C2" s="3" t="inlineStr">
        <is>
          <t>Susceptibility Assessment of Flash Floods: A Bibliometrics Analysis and Review</t>
        </is>
      </c>
      <c r="D2" s="3" t="inlineStr">
        <is>
          <t>Duan, L. and Liu, C. and Xu, H. and Pan, H. and Liu, H. and Yan, X. and Liu, T. and Yang, Z. and Liu, G. and Dai, X. and Zhang, D. and Fu, X. and Liu, X. and Lu, H.</t>
        </is>
      </c>
      <c r="E2" s="2" t="n">
        <v>2022</v>
      </c>
      <c r="F2" s="3" t="inlineStr">
        <is>
          <t>Remote Sensing</t>
        </is>
      </c>
      <c r="G2" s="2" t="inlineStr">
        <is>
          <t>China</t>
        </is>
      </c>
      <c r="H2" s="2" t="n">
        <v>27</v>
      </c>
      <c r="I2" s="2" t="inlineStr">
        <is>
          <t>10.3390/rs14215432</t>
        </is>
      </c>
      <c r="J2" s="2" t="inlineStr">
        <is>
          <t>W4307944540</t>
        </is>
      </c>
      <c r="K2" s="2" t="inlineStr">
        <is>
          <t>doi</t>
        </is>
      </c>
    </row>
    <row r="3">
      <c r="A3" s="2" t="n">
        <v>2</v>
      </c>
      <c r="B3" s="2" t="inlineStr">
        <is>
          <t>Khayyam20201033</t>
        </is>
      </c>
      <c r="C3" s="3" t="inlineStr">
        <is>
          <t>Floods: impacts on livelihood, economic status and poverty in the north-west region of Pakistan</t>
        </is>
      </c>
      <c r="D3" s="3" t="inlineStr">
        <is>
          <t>Khayyam, U.</t>
        </is>
      </c>
      <c r="E3" s="2" t="n">
        <v>2020</v>
      </c>
      <c r="F3" s="3" t="inlineStr">
        <is>
          <t>Natural Hazards</t>
        </is>
      </c>
      <c r="G3" s="2" t="inlineStr">
        <is>
          <t>Pakistan</t>
        </is>
      </c>
      <c r="H3" s="2" t="n">
        <v>27</v>
      </c>
      <c r="I3" s="2" t="inlineStr">
        <is>
          <t>10.1007/s11069-020-03944-7</t>
        </is>
      </c>
      <c r="J3" s="2" t="inlineStr">
        <is>
          <t>W3023221155</t>
        </is>
      </c>
      <c r="K3" s="2" t="inlineStr">
        <is>
          <t>doi</t>
        </is>
      </c>
    </row>
    <row r="4">
      <c r="A4" s="2" t="n">
        <v>3</v>
      </c>
      <c r="B4" s="2" t="inlineStr">
        <is>
          <t>IPCC2021ClimateChange</t>
        </is>
      </c>
      <c r="C4" s="3" t="inlineStr">
        <is>
          <t>Climate Change 2021 – The Physical Science Basis</t>
        </is>
      </c>
      <c r="D4" s="3" t="inlineStr">
        <is>
          <t>IPCC</t>
        </is>
      </c>
      <c r="E4" s="2" t="n">
        <v>2023</v>
      </c>
      <c r="F4" s="3" t="inlineStr">
        <is>
          <t>Cambridge University Press eBooks</t>
        </is>
      </c>
      <c r="G4" s="2" t="inlineStr"/>
      <c r="H4" s="2" t="n">
        <v>6359</v>
      </c>
      <c r="I4" s="2" t="inlineStr">
        <is>
          <t>10.1017/9781009157896</t>
        </is>
      </c>
      <c r="J4" s="2" t="inlineStr">
        <is>
          <t>W4382363623</t>
        </is>
      </c>
      <c r="K4" s="2" t="inlineStr">
        <is>
          <t>doi</t>
        </is>
      </c>
    </row>
    <row r="5">
      <c r="A5" s="2" t="n">
        <v>4</v>
      </c>
      <c r="B5" s="2" t="inlineStr">
        <is>
          <t>Ali2017AdvancesReview</t>
        </is>
      </c>
      <c r="C5" s="3" t="inlineStr">
        <is>
          <t>Advances and Challenges in Flash Flood Risk Assessment: A Review</t>
        </is>
      </c>
      <c r="D5" s="3" t="inlineStr">
        <is>
          <t>Ali, Karamat and Bajracharyar, Roshan M and Raut, Nani</t>
        </is>
      </c>
      <c r="E5" s="2" t="n">
        <v>2017</v>
      </c>
      <c r="F5" s="3" t="inlineStr">
        <is>
          <t>Journal of Geography &amp; Natural Disasters</t>
        </is>
      </c>
      <c r="G5" s="2" t="inlineStr"/>
      <c r="H5" s="2" t="n">
        <v>52</v>
      </c>
      <c r="I5" s="2" t="inlineStr">
        <is>
          <t>10.4172/2167-0587.1000195</t>
        </is>
      </c>
      <c r="J5" s="2" t="inlineStr">
        <is>
          <t>W2619521061</t>
        </is>
      </c>
      <c r="K5" s="2" t="inlineStr">
        <is>
          <t>doi</t>
        </is>
      </c>
    </row>
    <row r="6">
      <c r="A6" s="2" t="n">
        <v>5</v>
      </c>
      <c r="B6" s="2" t="inlineStr">
        <is>
          <t>Kuksina2020</t>
        </is>
      </c>
      <c r="C6" s="3" t="inlineStr">
        <is>
          <t>Flash floods: formation, study and distribution</t>
        </is>
      </c>
      <c r="D6" s="3" t="inlineStr">
        <is>
          <t>Kuksina, L. and Golosov, V.</t>
        </is>
      </c>
      <c r="E6" s="2" t="n">
        <v>2020</v>
      </c>
      <c r="F6" s="3" t="inlineStr">
        <is>
          <t>E3S Web of Conferences</t>
        </is>
      </c>
      <c r="G6" s="2" t="inlineStr">
        <is>
          <t>Russia</t>
        </is>
      </c>
      <c r="H6" s="2" t="n">
        <v>10</v>
      </c>
      <c r="I6" s="2" t="inlineStr">
        <is>
          <t>10.1051/e3sconf/202016302005</t>
        </is>
      </c>
      <c r="J6" s="2" t="inlineStr">
        <is>
          <t>W3016828594</t>
        </is>
      </c>
      <c r="K6" s="2" t="inlineStr">
        <is>
          <t>doi</t>
        </is>
      </c>
    </row>
    <row r="7">
      <c r="A7" s="2" t="n">
        <v>6</v>
      </c>
      <c r="B7" s="2" t="inlineStr">
        <is>
          <t>Hapuarachchi2011AForecasting</t>
        </is>
      </c>
      <c r="C7" s="3" t="inlineStr">
        <is>
          <t>A review of advances in flash flood forecasting</t>
        </is>
      </c>
      <c r="D7" s="3" t="inlineStr">
        <is>
          <t>Hapuarachchi, H. A.P. and Wang, Q. J. and Pagano, T. C.</t>
        </is>
      </c>
      <c r="E7" s="2" t="n">
        <v>2011</v>
      </c>
      <c r="F7" s="3" t="inlineStr">
        <is>
          <t>Hydrological Processes</t>
        </is>
      </c>
      <c r="G7" s="2" t="inlineStr">
        <is>
          <t>Australia</t>
        </is>
      </c>
      <c r="H7" s="2" t="n">
        <v>578</v>
      </c>
      <c r="I7" s="2" t="inlineStr">
        <is>
          <t>10.1002/hyp.8040</t>
        </is>
      </c>
      <c r="J7" s="2" t="inlineStr">
        <is>
          <t>W2072708097</t>
        </is>
      </c>
      <c r="K7" s="2" t="inlineStr">
        <is>
          <t>doi</t>
        </is>
      </c>
    </row>
    <row r="8">
      <c r="A8" s="2" t="n">
        <v>7</v>
      </c>
      <c r="B8" s="2" t="inlineStr">
        <is>
          <t>EEA2017Climate2016</t>
        </is>
      </c>
      <c r="C8" s="3" t="inlineStr">
        <is>
          <t>Climate change, impacts and vulnerability in Europe 2016</t>
        </is>
      </c>
      <c r="D8" s="3" t="inlineStr">
        <is>
          <t>European Environment Agency (EEA)</t>
        </is>
      </c>
      <c r="E8" s="2" t="inlineStr">
        <is>
          <t>2017</t>
        </is>
      </c>
      <c r="F8" s="3" t="inlineStr"/>
      <c r="G8" s="2" t="inlineStr"/>
      <c r="H8" s="2" t="inlineStr">
        <is>
          <t>not indexed</t>
        </is>
      </c>
      <c r="I8" s="2" t="inlineStr"/>
      <c r="J8" s="2" t="inlineStr"/>
      <c r="K8" s="2" t="inlineStr">
        <is>
          <t>none</t>
        </is>
      </c>
    </row>
    <row r="9">
      <c r="A9" s="2" t="n">
        <v>8</v>
      </c>
      <c r="B9" s="2" t="inlineStr">
        <is>
          <t>EM-DAT2021EM-DAT:Database</t>
        </is>
      </c>
      <c r="C9" s="3" t="inlineStr">
        <is>
          <t>The Emergency Events Database</t>
        </is>
      </c>
      <c r="D9" s="3" t="inlineStr">
        <is>
          <t>EM-DAT</t>
        </is>
      </c>
      <c r="E9" s="2" t="inlineStr">
        <is>
          <t>2021</t>
        </is>
      </c>
      <c r="F9" s="3" t="inlineStr"/>
      <c r="G9" s="2" t="inlineStr"/>
      <c r="H9" s="2" t="inlineStr">
        <is>
          <t>not indexed</t>
        </is>
      </c>
      <c r="I9" s="2" t="inlineStr"/>
      <c r="J9" s="2" t="inlineStr"/>
      <c r="K9" s="2" t="inlineStr">
        <is>
          <t>none</t>
        </is>
      </c>
    </row>
    <row r="10">
      <c r="A10" s="2" t="n">
        <v>9</v>
      </c>
      <c r="B10" s="2" t="inlineStr">
        <is>
          <t>Tom2022</t>
        </is>
      </c>
      <c r="C10" s="3" t="inlineStr">
        <is>
          <t>Review of flood modelling and models in developing cities and informal settlements: A case of Nairobi city</t>
        </is>
      </c>
      <c r="D10" s="3" t="inlineStr">
        <is>
          <t>Tom, R.O. and George, K.O. and Joanes, A.O. and Haron, A.</t>
        </is>
      </c>
      <c r="E10" s="2" t="n">
        <v>2022</v>
      </c>
      <c r="F10" s="3" t="inlineStr">
        <is>
          <t>Journal of Hydrology Regional Studies</t>
        </is>
      </c>
      <c r="G10" s="2" t="inlineStr">
        <is>
          <t>KE</t>
        </is>
      </c>
      <c r="H10" s="2" t="n">
        <v>38</v>
      </c>
      <c r="I10" s="2" t="inlineStr">
        <is>
          <t>10.1016/j.ejrh.2022.101188</t>
        </is>
      </c>
      <c r="J10" s="2" t="inlineStr">
        <is>
          <t>W4292695340</t>
        </is>
      </c>
      <c r="K10" s="2" t="inlineStr">
        <is>
          <t>doi</t>
        </is>
      </c>
    </row>
    <row r="11">
      <c r="A11" s="2" t="n">
        <v>10</v>
      </c>
      <c r="B11" s="2" t="inlineStr">
        <is>
          <t>Raymond2020611</t>
        </is>
      </c>
      <c r="C11" s="3" t="inlineStr">
        <is>
          <t>Understanding and managing connected extreme events</t>
        </is>
      </c>
      <c r="D11" s="3" t="inlineStr">
        <is>
          <t>Raymond, Colin and Horton, Radley M. and Zscheischler, Jakob and Martius, Olivia and AghaKouchak, Amir and Balch, Jennifer and Bowen, Steven G. and Camargo, Suzana J. and Hess, Jeremy and Kornhuber, Kai and Oppenheimer, Michael and Ruane, Alex C. and Wahl, Thomas and White, Kathleen</t>
        </is>
      </c>
      <c r="E11" s="2" t="n">
        <v>2020</v>
      </c>
      <c r="F11" s="3" t="inlineStr">
        <is>
          <t>Nature Climate Change</t>
        </is>
      </c>
      <c r="G11" s="2" t="inlineStr">
        <is>
          <t>United States</t>
        </is>
      </c>
      <c r="H11" s="2" t="n">
        <v>680</v>
      </c>
      <c r="I11" s="2" t="inlineStr">
        <is>
          <t>10.1038/s41558-020-0790-4</t>
        </is>
      </c>
      <c r="J11" s="2" t="inlineStr">
        <is>
          <t>W3034404898</t>
        </is>
      </c>
      <c r="K11" s="2" t="inlineStr">
        <is>
          <t>doi</t>
        </is>
      </c>
    </row>
    <row r="12">
      <c r="A12" s="2" t="n">
        <v>11</v>
      </c>
      <c r="B12" s="2" t="inlineStr">
        <is>
          <t>Alexander2019</t>
        </is>
      </c>
      <c r="C12" s="3" t="inlineStr">
        <is>
          <t>On the use of indices to study extreme precipitation on sub-daily and daily timescales</t>
        </is>
      </c>
      <c r="D12" s="3" t="inlineStr">
        <is>
          <t>Alexander, Lisa V and Fowler, Hayley J. and Bador, Margot and Behrangi, Ali and Donat, Markus G. and Dunn, Robert and Funk, Chris and Goldie, James and Lewis, Elizabeth and Rogé, Marine and Seneviratne, Sonia I. and Venugopal, V.</t>
        </is>
      </c>
      <c r="E12" s="2" t="n">
        <v>2019</v>
      </c>
      <c r="F12" s="3" t="inlineStr">
        <is>
          <t>Environmental Research Letters</t>
        </is>
      </c>
      <c r="G12" s="2" t="inlineStr">
        <is>
          <t>Australia</t>
        </is>
      </c>
      <c r="H12" s="2" t="n">
        <v>138</v>
      </c>
      <c r="I12" s="2" t="inlineStr">
        <is>
          <t>10.1088/1748-9326/ab51b6</t>
        </is>
      </c>
      <c r="J12" s="2" t="inlineStr">
        <is>
          <t>W2982658364</t>
        </is>
      </c>
      <c r="K12" s="2" t="inlineStr">
        <is>
          <t>doi</t>
        </is>
      </c>
    </row>
    <row r="13">
      <c r="A13" s="2" t="n">
        <v>12</v>
      </c>
      <c r="B13" s="2" t="inlineStr">
        <is>
          <t>Fowler2021107</t>
        </is>
      </c>
      <c r="C13" s="3" t="inlineStr">
        <is>
          <t>Anthropogenic intensification of short-duration rainfall extremes</t>
        </is>
      </c>
      <c r="D13" s="3" t="inlineStr">
        <is>
          <t>Fowler, Hayley J. and Lenderink, Geert and Prein, Andreas F. and Westra, Seth and Allan, Richard P. and Ban, Nikolina and Barbero, Renaud and Berg, Peter and Blenkinsop, Stephen and Do, Hong X. and Guerreiro, Selma and Haerter, Jan O. and Kendon, Elizabeth J. and Lewis, Elizabeth and Schaer, Christoph and Sharma, Ashish and Villarini, Gabriele and Wasko, Conrad and Zhang, Xuebin</t>
        </is>
      </c>
      <c r="E13" s="2" t="n">
        <v>2021</v>
      </c>
      <c r="F13" s="3" t="inlineStr">
        <is>
          <t>Nature Reviews Earth &amp; Environment</t>
        </is>
      </c>
      <c r="G13" s="2" t="inlineStr">
        <is>
          <t>United Kingdom</t>
        </is>
      </c>
      <c r="H13" s="2" t="n">
        <v>857</v>
      </c>
      <c r="I13" s="2" t="inlineStr">
        <is>
          <t>10.1038/s43017-020-00128-6</t>
        </is>
      </c>
      <c r="J13" s="2" t="inlineStr">
        <is>
          <t>W3123398346</t>
        </is>
      </c>
      <c r="K13" s="2" t="inlineStr">
        <is>
          <t>doi</t>
        </is>
      </c>
    </row>
    <row r="14">
      <c r="A14" s="2" t="n">
        <v>13</v>
      </c>
      <c r="B14" s="2" t="inlineStr">
        <is>
          <t>Poveda2020</t>
        </is>
      </c>
      <c r="C14" s="3" t="inlineStr">
        <is>
          <t>High Impact Weather Events in the Andes</t>
        </is>
      </c>
      <c r="D14" s="3" t="inlineStr">
        <is>
          <t>Poveda, Germán and Espinoza, Jhan Carlo and Zuluaga, Manuel D. and Solman, Silvina A. and Garreaud, René and van Oevelen, Peter J.</t>
        </is>
      </c>
      <c r="E14" s="2" t="n">
        <v>2020</v>
      </c>
      <c r="F14" s="3" t="inlineStr">
        <is>
          <t>Frontiers in Earth Science</t>
        </is>
      </c>
      <c r="G14" s="2" t="inlineStr">
        <is>
          <t>CO</t>
        </is>
      </c>
      <c r="H14" s="2" t="n">
        <v>163</v>
      </c>
      <c r="I14" s="2" t="inlineStr">
        <is>
          <t>10.3389/feart.2020.00162</t>
        </is>
      </c>
      <c r="J14" s="2" t="inlineStr">
        <is>
          <t>W3029180763</t>
        </is>
      </c>
      <c r="K14" s="2" t="inlineStr">
        <is>
          <t>doi</t>
        </is>
      </c>
    </row>
    <row r="15">
      <c r="A15" s="2" t="n">
        <v>14</v>
      </c>
      <c r="B15" s="2" t="inlineStr">
        <is>
          <t>Liu20201</t>
        </is>
      </c>
      <c r="C15" s="3" t="inlineStr">
        <is>
          <t>Global atmospheric moisture transport associated with precipitation extremes: Mechanisms and climate change impacts</t>
        </is>
      </c>
      <c r="D15" s="3" t="inlineStr">
        <is>
          <t>Liu, Bingjun and Tan, Xuezhi and Gan, Thian Y. and Chen, Xiaohong and Lin, Kairong and Lu, Mengqian and Liu, Zhiyong</t>
        </is>
      </c>
      <c r="E15" s="2" t="n">
        <v>2020</v>
      </c>
      <c r="F15" s="3" t="inlineStr">
        <is>
          <t>Wiley Interdisciplinary Reviews Water</t>
        </is>
      </c>
      <c r="G15" s="2" t="inlineStr">
        <is>
          <t>China</t>
        </is>
      </c>
      <c r="H15" s="2" t="n">
        <v>137</v>
      </c>
      <c r="I15" s="2" t="inlineStr">
        <is>
          <t>10.1002/wat2.1412</t>
        </is>
      </c>
      <c r="J15" s="2" t="inlineStr">
        <is>
          <t>W3002478926</t>
        </is>
      </c>
      <c r="K15" s="2" t="inlineStr">
        <is>
          <t>doi</t>
        </is>
      </c>
    </row>
    <row r="16">
      <c r="A16" s="2" t="n">
        <v>15</v>
      </c>
      <c r="B16" s="2" t="inlineStr">
        <is>
          <t>Fischer2016986</t>
        </is>
      </c>
      <c r="C16" s="3" t="inlineStr">
        <is>
          <t>Observed heavy precipitation increase confirms theory and early models</t>
        </is>
      </c>
      <c r="D16" s="3" t="inlineStr">
        <is>
          <t>Fischer, E.M. and Knutti, R.</t>
        </is>
      </c>
      <c r="E16" s="2" t="n">
        <v>2016</v>
      </c>
      <c r="F16" s="3" t="inlineStr">
        <is>
          <t>Nature Climate Change</t>
        </is>
      </c>
      <c r="G16" s="2" t="inlineStr">
        <is>
          <t>Switzerland</t>
        </is>
      </c>
      <c r="H16" s="2" t="n">
        <v>741</v>
      </c>
      <c r="I16" s="2" t="inlineStr">
        <is>
          <t>10.1038/nclimate3110</t>
        </is>
      </c>
      <c r="J16" s="2" t="inlineStr">
        <is>
          <t>W2544051602</t>
        </is>
      </c>
      <c r="K16" s="2" t="inlineStr">
        <is>
          <t>doi</t>
        </is>
      </c>
    </row>
    <row r="17">
      <c r="A17" s="2" t="n">
        <v>16</v>
      </c>
      <c r="B17" s="2" t="inlineStr">
        <is>
          <t>Miralles201919</t>
        </is>
      </c>
      <c r="C17" s="3" t="inlineStr">
        <is>
          <t>Land–atmospheric feedbacks during droughts and heatwaves: state of the science and current challenges</t>
        </is>
      </c>
      <c r="D17" s="3" t="inlineStr">
        <is>
          <t>Miralles, Diego G. and Gentine, Pierre and Seneviratne, Sonia I. and Teuling, Adriaan J.</t>
        </is>
      </c>
      <c r="E17" s="2" t="n">
        <v>2018</v>
      </c>
      <c r="F17" s="3" t="inlineStr">
        <is>
          <t>Annals of the New York Academy of Sciences</t>
        </is>
      </c>
      <c r="G17" s="2" t="inlineStr">
        <is>
          <t>Belgium</t>
        </is>
      </c>
      <c r="H17" s="2" t="n">
        <v>1068</v>
      </c>
      <c r="I17" s="2" t="inlineStr">
        <is>
          <t>10.1111/nyas.13912</t>
        </is>
      </c>
      <c r="J17" s="2" t="inlineStr">
        <is>
          <t>W2810551812</t>
        </is>
      </c>
      <c r="K17" s="2" t="inlineStr">
        <is>
          <t>doi</t>
        </is>
      </c>
    </row>
    <row r="18">
      <c r="A18" s="2" t="n">
        <v>17</v>
      </c>
      <c r="B18" s="2" t="inlineStr">
        <is>
          <t>Neelin20171258</t>
        </is>
      </c>
      <c r="C18" s="3" t="inlineStr">
        <is>
          <t>Global warming precipitation accumulation increases above the current-climate cutoff scale</t>
        </is>
      </c>
      <c r="D18" s="3" t="inlineStr">
        <is>
          <t>Neelin, J. David and Sahany, Sandeep and Stechmann, Samuel N. and Bernstein, Diana N.</t>
        </is>
      </c>
      <c r="E18" s="2" t="n">
        <v>2017</v>
      </c>
      <c r="F18" s="3" t="inlineStr">
        <is>
          <t>Proceedings of the National Academy of Sciences</t>
        </is>
      </c>
      <c r="G18" s="2" t="inlineStr">
        <is>
          <t>United States</t>
        </is>
      </c>
      <c r="H18" s="2" t="n">
        <v>78</v>
      </c>
      <c r="I18" s="2" t="inlineStr">
        <is>
          <t>10.1073/pnas.1615333114</t>
        </is>
      </c>
      <c r="J18" s="2" t="inlineStr">
        <is>
          <t>W2582091184</t>
        </is>
      </c>
      <c r="K18" s="2" t="inlineStr">
        <is>
          <t>doi</t>
        </is>
      </c>
    </row>
    <row r="19">
      <c r="A19" s="2" t="n">
        <v>18</v>
      </c>
      <c r="B19" s="2" t="inlineStr">
        <is>
          <t>Aggarwal2022</t>
        </is>
      </c>
      <c r="C19" s="3" t="inlineStr">
        <is>
          <t>Monsoon precipitation characteristics and extreme precipitation events over Northwest India using Indian high resolution regional reanalysis</t>
        </is>
      </c>
      <c r="D19" s="3" t="inlineStr">
        <is>
          <t>Aggarwal, Deepanshu and Attada, Raju and Shukla, K.K. and Chakraborty, Rohit and Kunchala, Ravi Kumar</t>
        </is>
      </c>
      <c r="E19" s="2" t="n">
        <v>2021</v>
      </c>
      <c r="F19" s="3" t="inlineStr">
        <is>
          <t>Atmospheric Research</t>
        </is>
      </c>
      <c r="G19" s="2" t="inlineStr">
        <is>
          <t>India</t>
        </is>
      </c>
      <c r="H19" s="2" t="n">
        <v>66</v>
      </c>
      <c r="I19" s="2" t="inlineStr">
        <is>
          <t>10.1016/j.atmosres.2021.105993</t>
        </is>
      </c>
      <c r="J19" s="2" t="inlineStr">
        <is>
          <t>W4200434167</t>
        </is>
      </c>
      <c r="K19" s="2" t="inlineStr">
        <is>
          <t>doi</t>
        </is>
      </c>
    </row>
    <row r="20">
      <c r="A20" s="2" t="n">
        <v>19</v>
      </c>
      <c r="B20" s="2" t="inlineStr">
        <is>
          <t>Hsiang2013</t>
        </is>
      </c>
      <c r="C20" s="3" t="inlineStr">
        <is>
          <t>Quantifying the Influence of Climate on Human Conflict</t>
        </is>
      </c>
      <c r="D20" s="3" t="inlineStr">
        <is>
          <t>Hsiang, Solomon M. and Burke, Marshall and Miguel, Edward</t>
        </is>
      </c>
      <c r="E20" s="2" t="n">
        <v>2013</v>
      </c>
      <c r="F20" s="3" t="inlineStr">
        <is>
          <t>Science</t>
        </is>
      </c>
      <c r="G20" s="2" t="inlineStr">
        <is>
          <t>United States</t>
        </is>
      </c>
      <c r="H20" s="2" t="n">
        <v>1820</v>
      </c>
      <c r="I20" s="2" t="inlineStr">
        <is>
          <t>10.1126/science.1235367</t>
        </is>
      </c>
      <c r="J20" s="2" t="inlineStr">
        <is>
          <t>W2156395131</t>
        </is>
      </c>
      <c r="K20" s="2" t="inlineStr">
        <is>
          <t>doi</t>
        </is>
      </c>
    </row>
    <row r="21">
      <c r="A21" s="2" t="n">
        <v>20</v>
      </c>
      <c r="B21" s="2" t="inlineStr">
        <is>
          <t>Stephens2024e2429826</t>
        </is>
      </c>
      <c r="C21" s="3" t="inlineStr">
        <is>
          <t>Extreme Weather Injuries and Fatalities, 2006 to 2021</t>
        </is>
      </c>
      <c r="D21" s="3" t="inlineStr">
        <is>
          <t>Stephens, Caroline Q. and Newton, Christopher and Kappy, Brandon and Melhado, Caroline G. and Fallat, Mary E.</t>
        </is>
      </c>
      <c r="E21" s="2" t="n">
        <v>2024</v>
      </c>
      <c r="F21" s="3" t="inlineStr">
        <is>
          <t>JAMA Network Open</t>
        </is>
      </c>
      <c r="G21" s="2" t="inlineStr">
        <is>
          <t>United States</t>
        </is>
      </c>
      <c r="H21" s="2" t="n">
        <v>9</v>
      </c>
      <c r="I21" s="2" t="inlineStr">
        <is>
          <t>10.1001/jamanetworkopen.2024.29826</t>
        </is>
      </c>
      <c r="J21" s="2" t="inlineStr">
        <is>
          <t>W4401882811</t>
        </is>
      </c>
      <c r="K21" s="2" t="inlineStr">
        <is>
          <t>doi</t>
        </is>
      </c>
    </row>
    <row r="22">
      <c r="A22" s="2" t="n">
        <v>21</v>
      </c>
      <c r="B22" s="2" t="inlineStr">
        <is>
          <t>Reboita2024</t>
        </is>
      </c>
      <c r="C22" s="3" t="inlineStr">
        <is>
          <t>A Multi-Scale Analysis of the Extreme Precipitation in Southern Brazil in April/May 2024</t>
        </is>
      </c>
      <c r="D22" s="3" t="inlineStr">
        <is>
          <t>Reboita, Michelle Simões and Mattos, Enrique Vieira and Capucin, Bruno César and Souza, Diego Oliveira de and Ferreira, Glauber Willian de Souza</t>
        </is>
      </c>
      <c r="E22" s="2" t="n">
        <v>2024</v>
      </c>
      <c r="F22" s="3" t="inlineStr">
        <is>
          <t>Atmosphere</t>
        </is>
      </c>
      <c r="G22" s="2" t="inlineStr">
        <is>
          <t>Brazil</t>
        </is>
      </c>
      <c r="H22" s="2" t="n">
        <v>39</v>
      </c>
      <c r="I22" s="2" t="inlineStr">
        <is>
          <t>10.3390/atmos15091123</t>
        </is>
      </c>
      <c r="J22" s="2" t="inlineStr">
        <is>
          <t>W4402716734</t>
        </is>
      </c>
      <c r="K22" s="2" t="inlineStr">
        <is>
          <t>doi</t>
        </is>
      </c>
    </row>
    <row r="23">
      <c r="A23" s="2" t="n">
        <v>22</v>
      </c>
      <c r="B23" s="2" t="inlineStr">
        <is>
          <t>deVries2024</t>
        </is>
      </c>
      <c r="C23" s="3" t="inlineStr">
        <is>
          <t>Proceso sistematizado para el estudio de la patología ginecológica de la paciente en edad avanzada</t>
        </is>
      </c>
      <c r="D23" s="3" t="inlineStr">
        <is>
          <t>de Vries, Iris and Sippel, Sebastian and Zeder, Joel and Fischer, Erich and Knutti, Reto</t>
        </is>
      </c>
      <c r="E23" s="2" t="n">
        <v>2009</v>
      </c>
      <c r="F23" s="3" t="inlineStr">
        <is>
          <t>Folia clínica en obstetricia y ginecología</t>
        </is>
      </c>
      <c r="G23" s="2" t="inlineStr"/>
      <c r="H23" s="2" t="n">
        <v>0</v>
      </c>
      <c r="I23" s="2" t="inlineStr">
        <is>
          <t>10.1038/s43247-024-01622-1</t>
        </is>
      </c>
      <c r="J23" s="2" t="inlineStr">
        <is>
          <t>W39239115</t>
        </is>
      </c>
      <c r="K23" s="2" t="inlineStr">
        <is>
          <t>doi</t>
        </is>
      </c>
    </row>
    <row r="24">
      <c r="A24" s="2" t="n">
        <v>23</v>
      </c>
      <c r="B24" s="2" t="inlineStr">
        <is>
          <t>Dharmarathne2024</t>
        </is>
      </c>
      <c r="C24" s="3" t="inlineStr">
        <is>
          <t>Adapting cities to the surge: A comprehensive review of climate-induced urban flooding</t>
        </is>
      </c>
      <c r="D24" s="3" t="inlineStr">
        <is>
          <t>Dharmarathne, Gangani and Waduge, A.O. and Bogahawaththa, Madhusha and Rathnayake, Upaka and Meddage, D.P.P.</t>
        </is>
      </c>
      <c r="E24" s="2" t="n">
        <v>2024</v>
      </c>
      <c r="F24" s="3" t="inlineStr">
        <is>
          <t>Results in Engineering</t>
        </is>
      </c>
      <c r="G24" s="2" t="inlineStr">
        <is>
          <t>LK</t>
        </is>
      </c>
      <c r="H24" s="2" t="n">
        <v>205</v>
      </c>
      <c r="I24" s="2" t="inlineStr">
        <is>
          <t>10.1016/j.rineng.2024.102123</t>
        </is>
      </c>
      <c r="J24" s="2" t="inlineStr">
        <is>
          <t>W4394599917</t>
        </is>
      </c>
      <c r="K24" s="2" t="inlineStr">
        <is>
          <t>doi</t>
        </is>
      </c>
    </row>
    <row r="25">
      <c r="A25" s="2" t="n">
        <v>24</v>
      </c>
      <c r="B25" s="2" t="inlineStr">
        <is>
          <t>Birkmann2023</t>
        </is>
      </c>
      <c r="C25" s="3" t="inlineStr">
        <is>
          <t>Strengthening resilience in reconstruction after extreme events – Insights from flood affected communities in Germany</t>
        </is>
      </c>
      <c r="D25" s="3" t="inlineStr">
        <is>
          <t>Birkmann, Joern and Schüttrumpf, Holger and Handmer, John and Thieken, Annegret and Kuhlicke, Christian and Truedinger, Alessa and Sauter, Holger and Klopries, Elena-Maria and Greiving, Stefan and Jamshed, Ali and Merz, Bruno and Solecki, William and Kirschbauer, Lothar</t>
        </is>
      </c>
      <c r="E25" s="2" t="n">
        <v>2023</v>
      </c>
      <c r="F25" s="3" t="inlineStr">
        <is>
          <t>International Journal of Disaster Risk Reduction</t>
        </is>
      </c>
      <c r="G25" s="2" t="inlineStr">
        <is>
          <t>Germany</t>
        </is>
      </c>
      <c r="H25" s="2" t="n">
        <v>57</v>
      </c>
      <c r="I25" s="2" t="inlineStr">
        <is>
          <t>10.1016/j.ijdrr.2023.103965</t>
        </is>
      </c>
      <c r="J25" s="2" t="inlineStr">
        <is>
          <t>W4386226633</t>
        </is>
      </c>
      <c r="K25" s="2" t="inlineStr">
        <is>
          <t>doi</t>
        </is>
      </c>
    </row>
    <row r="26">
      <c r="A26" s="2" t="n">
        <v>25</v>
      </c>
      <c r="B26" s="2" t="inlineStr">
        <is>
          <t>Birkmann2010637</t>
        </is>
      </c>
      <c r="C26" s="3" t="inlineStr">
        <is>
          <t>Extreme events and disasters: a window of opportunity for change? Analysis of organizational, institutional and political changes, formal and informal responses after mega-disasters</t>
        </is>
      </c>
      <c r="D26" s="3" t="inlineStr">
        <is>
          <t>Birkmann, J. and Buckle, P. and Jaeger, J. and Pelling, M. and Setiadi, N. and Garschagen, M. and Fernando, N. and Kropp, J.</t>
        </is>
      </c>
      <c r="E26" s="2" t="n">
        <v>2008</v>
      </c>
      <c r="F26" s="3" t="inlineStr">
        <is>
          <t>Natural Hazards</t>
        </is>
      </c>
      <c r="G26" s="2" t="inlineStr">
        <is>
          <t>Germany</t>
        </is>
      </c>
      <c r="H26" s="2" t="n">
        <v>459</v>
      </c>
      <c r="I26" s="2" t="inlineStr">
        <is>
          <t>10.1007/s11069-008-9319-2</t>
        </is>
      </c>
      <c r="J26" s="2" t="inlineStr">
        <is>
          <t>W2127038289</t>
        </is>
      </c>
      <c r="K26" s="2" t="inlineStr">
        <is>
          <t>doi</t>
        </is>
      </c>
    </row>
    <row r="27">
      <c r="A27" s="2" t="n">
        <v>26</v>
      </c>
      <c r="B27" s="2" t="inlineStr">
        <is>
          <t>McCaughey201838</t>
        </is>
      </c>
      <c r="C27" s="3" t="inlineStr">
        <is>
          <t>Socio-economic consequences of post-disaster reconstruction in hazard-exposed areas</t>
        </is>
      </c>
      <c r="D27" s="3" t="inlineStr">
        <is>
          <t>McCaughey, Jamie W. and Daly, Patrick and Mundir, Ibnu and Mahdi, Saiful and Patt, Anthony</t>
        </is>
      </c>
      <c r="E27" s="2" t="n">
        <v>2018</v>
      </c>
      <c r="F27" s="3" t="inlineStr">
        <is>
          <t>Nature Sustainability</t>
        </is>
      </c>
      <c r="G27" s="2" t="inlineStr">
        <is>
          <t>Switzerland</t>
        </is>
      </c>
      <c r="H27" s="2" t="n">
        <v>91</v>
      </c>
      <c r="I27" s="2" t="inlineStr">
        <is>
          <t>10.1038/s41893-017-0002-z</t>
        </is>
      </c>
      <c r="J27" s="2" t="inlineStr">
        <is>
          <t>W2782166215</t>
        </is>
      </c>
      <c r="K27" s="2" t="inlineStr">
        <is>
          <t>doi</t>
        </is>
      </c>
    </row>
    <row r="28">
      <c r="A28" s="2" t="n">
        <v>27</v>
      </c>
      <c r="B28" s="2" t="inlineStr">
        <is>
          <t>Diakakis2020</t>
        </is>
      </c>
      <c r="C28" s="3" t="inlineStr">
        <is>
          <t>A systematic assessment of the effects of extreme flash floods on transportation infrastructure and circulation: The example of the 2017 Mandra flood</t>
        </is>
      </c>
      <c r="D28" s="3" t="inlineStr">
        <is>
          <t>Diakakis, Michalis and Boufidis, Neofytos and Salanova Grau, Jose Maria and Andreadakis, Emmanuel and Stamos, Iraklis</t>
        </is>
      </c>
      <c r="E28" s="2" t="n">
        <v>2020</v>
      </c>
      <c r="F28" s="3" t="inlineStr">
        <is>
          <t>International Journal of Disaster Risk Reduction</t>
        </is>
      </c>
      <c r="G28" s="2" t="inlineStr">
        <is>
          <t>Greece</t>
        </is>
      </c>
      <c r="H28" s="2" t="n">
        <v>112</v>
      </c>
      <c r="I28" s="2" t="inlineStr">
        <is>
          <t>10.1016/j.ijdrr.2020.101542</t>
        </is>
      </c>
      <c r="J28" s="2" t="inlineStr">
        <is>
          <t>W3008723273</t>
        </is>
      </c>
      <c r="K28" s="2" t="inlineStr">
        <is>
          <t>doi</t>
        </is>
      </c>
    </row>
    <row r="29">
      <c r="A29" s="2" t="n">
        <v>28</v>
      </c>
      <c r="B29" s="2" t="inlineStr">
        <is>
          <t>Ahmadalipour2019</t>
        </is>
      </c>
      <c r="C29" s="3" t="inlineStr">
        <is>
          <t>A data-driven analysis of flash flood hazard, fatalities, and damages over the CONUS during 1996–2017</t>
        </is>
      </c>
      <c r="D29" s="3" t="inlineStr">
        <is>
          <t>Ahmadalipour, Ali and Moradkhani, Hamid</t>
        </is>
      </c>
      <c r="E29" s="2" t="n">
        <v>2019</v>
      </c>
      <c r="F29" s="3" t="inlineStr">
        <is>
          <t>Journal of Hydrology</t>
        </is>
      </c>
      <c r="G29" s="2" t="inlineStr">
        <is>
          <t>United States</t>
        </is>
      </c>
      <c r="H29" s="2" t="n">
        <v>121</v>
      </c>
      <c r="I29" s="2" t="inlineStr">
        <is>
          <t>10.1016/j.jhydrol.2019.124106</t>
        </is>
      </c>
      <c r="J29" s="2" t="inlineStr">
        <is>
          <t>W2972064142</t>
        </is>
      </c>
      <c r="K29" s="2" t="inlineStr">
        <is>
          <t>doi</t>
        </is>
      </c>
    </row>
    <row r="30">
      <c r="A30" s="2" t="n">
        <v>29</v>
      </c>
      <c r="B30" s="2" t="inlineStr">
        <is>
          <t>Jonkman2024</t>
        </is>
      </c>
      <c r="C30" s="3" t="inlineStr">
        <is>
          <t>Floods have become less deadly: an analysis of global flood fatalities 1975–2022</t>
        </is>
      </c>
      <c r="D30" s="3" t="inlineStr">
        <is>
          <t>Jonkman, S.N. and Curran, A. and Bouwer, L.M.</t>
        </is>
      </c>
      <c r="E30" s="2" t="n">
        <v>2024</v>
      </c>
      <c r="F30" s="3" t="inlineStr">
        <is>
          <t>Natural Hazards</t>
        </is>
      </c>
      <c r="G30" s="2" t="inlineStr">
        <is>
          <t>Netherlands</t>
        </is>
      </c>
      <c r="H30" s="2" t="n">
        <v>103</v>
      </c>
      <c r="I30" s="2" t="inlineStr">
        <is>
          <t>10.1007/s11069-024-06444-0</t>
        </is>
      </c>
      <c r="J30" s="2" t="inlineStr">
        <is>
          <t>W4392221568</t>
        </is>
      </c>
      <c r="K30" s="2" t="inlineStr">
        <is>
          <t>doi</t>
        </is>
      </c>
    </row>
    <row r="31">
      <c r="A31" s="2" t="n">
        <v>30</v>
      </c>
      <c r="B31" s="2" t="inlineStr">
        <is>
          <t>pot2023</t>
        </is>
      </c>
      <c r="C31" s="3" t="inlineStr">
        <is>
          <t>Robust governance for the long term and the heat of the moment: Temporal strategies for coping with dual crises</t>
        </is>
      </c>
      <c r="D31" s="3" t="inlineStr">
        <is>
          <t>Pot, Wieke and Scherpenisse, Jorren and ’t Hart, Paul</t>
        </is>
      </c>
      <c r="E31" s="2" t="n">
        <v>2022</v>
      </c>
      <c r="F31" s="3" t="inlineStr">
        <is>
          <t>Public Administration</t>
        </is>
      </c>
      <c r="G31" s="2" t="inlineStr">
        <is>
          <t>Netherlands</t>
        </is>
      </c>
      <c r="H31" s="2" t="n">
        <v>52</v>
      </c>
      <c r="I31" s="2" t="inlineStr">
        <is>
          <t>10.1111/padm.12872</t>
        </is>
      </c>
      <c r="J31" s="2" t="inlineStr">
        <is>
          <t>W4283787389</t>
        </is>
      </c>
      <c r="K31" s="2" t="inlineStr">
        <is>
          <t>doi</t>
        </is>
      </c>
    </row>
    <row r="32">
      <c r="A32" s="2" t="n">
        <v>31</v>
      </c>
      <c r="B32" s="2" t="inlineStr">
        <is>
          <t>Faranda20221311</t>
        </is>
      </c>
      <c r="C32" s="3" t="inlineStr">
        <is>
          <t>A climate-change attribution retrospective of some impactful weather extremes of 2021</t>
        </is>
      </c>
      <c r="D32" s="3" t="inlineStr">
        <is>
          <t>Faranda, D. and Bourdin, S. and Ginesta, M. and Krouma, M. and Noyelle, R. and Pons, F. and Yiou, P. and Messori, G.</t>
        </is>
      </c>
      <c r="E32" s="2" t="n">
        <v>2022</v>
      </c>
      <c r="F32" s="3" t="inlineStr">
        <is>
          <t>Weather and Climate Dynamics</t>
        </is>
      </c>
      <c r="G32" s="2" t="inlineStr">
        <is>
          <t>BI</t>
        </is>
      </c>
      <c r="H32" s="2" t="n">
        <v>0</v>
      </c>
      <c r="I32" s="2" t="inlineStr">
        <is>
          <t>10.5194/wcd-3-1311-2022</t>
        </is>
      </c>
      <c r="J32" s="2" t="inlineStr">
        <is>
          <t>W4221138587</t>
        </is>
      </c>
      <c r="K32" s="2" t="inlineStr">
        <is>
          <t>doi</t>
        </is>
      </c>
    </row>
    <row r="33">
      <c r="A33" s="2" t="n">
        <v>32</v>
      </c>
      <c r="B33" s="2" t="inlineStr">
        <is>
          <t>Tradowsky2023</t>
        </is>
      </c>
      <c r="C33" s="3" t="inlineStr">
        <is>
          <t>Attribution of the heavy rainfall events leading to severe flooding in Western Europe during July 2021</t>
        </is>
      </c>
      <c r="D33" s="3" t="inlineStr">
        <is>
          <t>Tradowsky, J.S. and Philip, S.Y. and Kreienkamp, F. and Kew, S.F. and Lorenz, P. and Arrighi, J. and Bettmann, T. and Caluwaerts, S. and Chan, S.C. and De Cruz, L. and de Vries, H. and Demuth, N. and Ferrone, A. and Fischer, E.M. and Fowler, H.J. and Goergen, K. and Heinrich, D. and Henrichs, Y. and Kaspar, F. and Lenderink, G. and Nilson, E. and Otto, F.E.L. and Ragone, F. and Seneviratne, S.I. and Singh, R.K. and Skålevåg, A. and Termonia, P. and Thalheimer, L. and van Aalst, M. and Van den Bergh, J. and Van de Vyver, H. and Vannitsem, S. and van Oldenborgh, G.J. and Van Schaeybroeck, B. and Vautard, R. and Vonk, D. and Wanders, N.</t>
        </is>
      </c>
      <c r="E33" s="2" t="n">
        <v>2023</v>
      </c>
      <c r="F33" s="3" t="inlineStr">
        <is>
          <t>Climatic Change</t>
        </is>
      </c>
      <c r="G33" s="2" t="inlineStr">
        <is>
          <t>Germany</t>
        </is>
      </c>
      <c r="H33" s="2" t="n">
        <v>230</v>
      </c>
      <c r="I33" s="2" t="inlineStr">
        <is>
          <t>10.1007/s10584-023-03502-7</t>
        </is>
      </c>
      <c r="J33" s="2" t="inlineStr">
        <is>
          <t>W4382727095</t>
        </is>
      </c>
      <c r="K33" s="2" t="inlineStr">
        <is>
          <t>doi</t>
        </is>
      </c>
    </row>
    <row r="34">
      <c r="A34" s="2" t="n">
        <v>33</v>
      </c>
      <c r="B34" s="2" t="inlineStr">
        <is>
          <t>Kreienkamp2021</t>
        </is>
      </c>
      <c r="C34" s="3" t="inlineStr">
        <is>
          <t>Rapid attribution of heavy rainfall events leading to the severe flooding in Western Europe during July 2021</t>
        </is>
      </c>
      <c r="D34" s="3" t="inlineStr">
        <is>
          <t>Kreienkamp, F. and Philip, S.Y. and Tradowsky, J.S. and Kew, S.F. and Lorenz, P. and Arrighi, J.</t>
        </is>
      </c>
      <c r="E34" s="2" t="inlineStr">
        <is>
          <t>2021</t>
        </is>
      </c>
      <c r="F34" s="3" t="inlineStr">
        <is>
          <t>Rapid attribution of heavy rainfall events leading to the severe flooding in Western Europe during July 2021</t>
        </is>
      </c>
      <c r="G34" s="2" t="inlineStr"/>
      <c r="H34" s="2" t="inlineStr">
        <is>
          <t>not indexed</t>
        </is>
      </c>
      <c r="I34" s="2" t="inlineStr"/>
      <c r="J34" s="2" t="inlineStr"/>
      <c r="K34" s="2" t="inlineStr">
        <is>
          <t>none</t>
        </is>
      </c>
    </row>
    <row r="35">
      <c r="A35" s="2" t="n">
        <v>34</v>
      </c>
      <c r="B35" s="2" t="inlineStr">
        <is>
          <t>Ferreira202259</t>
        </is>
      </c>
      <c r="C35" s="3" t="inlineStr">
        <is>
          <t>Nature-Based Solutions for Flood Mitigation and Resilience in Urban Areas</t>
        </is>
      </c>
      <c r="D35" s="3" t="inlineStr">
        <is>
          <t>Ferreira, Carla Sofia Santos and Potočki, Kristina and Kapović-Solomun, Marijana and Kalantari, Zahra</t>
        </is>
      </c>
      <c r="E35" s="2" t="n">
        <v>2021</v>
      </c>
      <c r="F35" s="3" t="inlineStr">
        <is>
          <t>The handbook of environmental chemistry</t>
        </is>
      </c>
      <c r="G35" s="2" t="inlineStr">
        <is>
          <t>Portugal</t>
        </is>
      </c>
      <c r="H35" s="2" t="n">
        <v>70</v>
      </c>
      <c r="I35" s="2" t="inlineStr">
        <is>
          <t>10.1007/698_2021_758</t>
        </is>
      </c>
      <c r="J35" s="2" t="inlineStr">
        <is>
          <t>W3186421198</t>
        </is>
      </c>
      <c r="K35" s="2" t="inlineStr">
        <is>
          <t>doi</t>
        </is>
      </c>
    </row>
    <row r="36">
      <c r="A36" s="2" t="n">
        <v>35</v>
      </c>
      <c r="B36" s="2" t="inlineStr">
        <is>
          <t>Boin2020116</t>
        </is>
      </c>
      <c r="C36" s="3" t="inlineStr">
        <is>
          <t>Hiding in Plain Sight: Conceptualizing the Creeping Crisis</t>
        </is>
      </c>
      <c r="D36" s="3" t="inlineStr">
        <is>
          <t>Boin, A. and Ekengren, M. and Rhinard, M.</t>
        </is>
      </c>
      <c r="E36" s="2" t="n">
        <v>2020</v>
      </c>
      <c r="F36" s="3" t="inlineStr">
        <is>
          <t>Risk Hazards &amp; Crisis in Public Policy</t>
        </is>
      </c>
      <c r="G36" s="2" t="inlineStr"/>
      <c r="H36" s="2" t="n">
        <v>385</v>
      </c>
      <c r="I36" s="2" t="inlineStr">
        <is>
          <t>10.1002/rhc3.12193</t>
        </is>
      </c>
      <c r="J36" s="2" t="inlineStr">
        <is>
          <t>W3015326583</t>
        </is>
      </c>
      <c r="K36" s="2" t="inlineStr">
        <is>
          <t>doi</t>
        </is>
      </c>
    </row>
    <row r="37">
      <c r="A37" s="2" t="n">
        <v>36</v>
      </c>
      <c r="B37" s="2" t="inlineStr">
        <is>
          <t>UNEP2022</t>
        </is>
      </c>
      <c r="C37" s="3" t="inlineStr">
        <is>
          <t>Adaptation Gap Report 2022: Too Little, Too Slow – Climate Adaptation Failure Puts World at Risk</t>
        </is>
      </c>
      <c r="D37" s="3" t="inlineStr">
        <is>
          <t>United Nations Environment Programme</t>
        </is>
      </c>
      <c r="E37" s="2" t="inlineStr">
        <is>
          <t>2022</t>
        </is>
      </c>
      <c r="F37" s="3" t="inlineStr"/>
      <c r="G37" s="2" t="inlineStr"/>
      <c r="H37" s="2" t="inlineStr">
        <is>
          <t>not indexed</t>
        </is>
      </c>
      <c r="I37" s="2" t="inlineStr"/>
      <c r="J37" s="2" t="inlineStr"/>
      <c r="K37" s="2" t="inlineStr">
        <is>
          <t>none</t>
        </is>
      </c>
    </row>
    <row r="38">
      <c r="A38" s="2" t="n">
        <v>37</v>
      </c>
      <c r="B38" s="2" t="inlineStr">
        <is>
          <t>Lee202335</t>
        </is>
      </c>
      <c r="C38" s="3" t="inlineStr">
        <is>
          <t>Summary for policymakers</t>
        </is>
      </c>
      <c r="D38" s="3" t="inlineStr">
        <is>
          <t>Lee, H. and Romero, J.</t>
        </is>
      </c>
      <c r="E38" s="2" t="inlineStr">
        <is>
          <t>2023</t>
        </is>
      </c>
      <c r="F38" s="3" t="inlineStr">
        <is>
          <t>Climate Change 2023: Synthesis Report. Contribution of Working Groups I, II and III to the Sixth Assessment Report of the Intergovernmental Panel on Climate Change</t>
        </is>
      </c>
      <c r="G38" s="2" t="inlineStr"/>
      <c r="H38" s="2" t="inlineStr">
        <is>
          <t>not indexed</t>
        </is>
      </c>
      <c r="I38" s="2" t="inlineStr"/>
      <c r="J38" s="2" t="inlineStr"/>
      <c r="K38" s="2" t="inlineStr">
        <is>
          <t>none</t>
        </is>
      </c>
    </row>
    <row r="39">
      <c r="A39" s="2" t="n">
        <v>38</v>
      </c>
      <c r="B39" s="2" t="inlineStr">
        <is>
          <t>Fettweis2022114</t>
        </is>
      </c>
      <c r="C39" s="3" t="inlineStr">
        <is>
          <t>Analyse météorologique de l'évènement pluvieux de Juillet 2021 et évolution climatique du bassin versant de la Vesdre</t>
        </is>
      </c>
      <c r="D39" s="3" t="inlineStr">
        <is>
          <t>Fettweis, X. and Doutreloup, S.</t>
        </is>
      </c>
      <c r="E39" s="2" t="inlineStr">
        <is>
          <t>2022</t>
        </is>
      </c>
      <c r="F39" s="3" t="inlineStr">
        <is>
          <t>StudioPaolaViganò \&amp;</t>
        </is>
      </c>
      <c r="G39" s="2" t="inlineStr"/>
      <c r="H39" s="2" t="inlineStr">
        <is>
          <t>not indexed</t>
        </is>
      </c>
      <c r="I39" s="2" t="inlineStr"/>
      <c r="J39" s="2" t="inlineStr"/>
      <c r="K39" s="2" t="inlineStr">
        <is>
          <t>none</t>
        </is>
      </c>
    </row>
    <row r="40">
      <c r="A40" s="2" t="n">
        <v>39</v>
      </c>
      <c r="B40" s="2" t="inlineStr">
        <is>
          <t>Ludwig20231287</t>
        </is>
      </c>
      <c r="C40" s="3" t="inlineStr">
        <is>
          <t>A multi-disciplinary analysis of the exceptional flood event of July 2021 in central Europe – Part 2: Historical context and relation to climate change</t>
        </is>
      </c>
      <c r="D40" s="3" t="inlineStr">
        <is>
          <t>Ludwig, P. and Ehmele, F. and Franca, M.J. and Mohr, S. and Caldas-Alvarez, A. and Daniell, J.E. and Ehret, U. and Feldmann, H. and Hundhausen, M. and Knippertz, P. and Küpfer, K. and Kunz, M. and Mühr, B. and Pinto, J.G. and Quinting, J. and Schäfer, A.M. and Seidel, F. and Wisotzky, C.</t>
        </is>
      </c>
      <c r="E40" s="2" t="n">
        <v>2023</v>
      </c>
      <c r="F40" s="3" t="inlineStr">
        <is>
          <t>Natural hazards and earth system sciences</t>
        </is>
      </c>
      <c r="G40" s="2" t="inlineStr">
        <is>
          <t>Germany</t>
        </is>
      </c>
      <c r="H40" s="2" t="n">
        <v>80</v>
      </c>
      <c r="I40" s="2" t="inlineStr">
        <is>
          <t>10.5194/nhess-23-1287-2023</t>
        </is>
      </c>
      <c r="J40" s="2" t="inlineStr">
        <is>
          <t>W4362608434</t>
        </is>
      </c>
      <c r="K40" s="2" t="inlineStr">
        <is>
          <t>doi</t>
        </is>
      </c>
    </row>
    <row r="41">
      <c r="A41" s="2" t="n">
        <v>40</v>
      </c>
      <c r="B41" s="2" t="inlineStr">
        <is>
          <t>ipcc_ar6_2021</t>
        </is>
      </c>
      <c r="C41" s="3" t="inlineStr">
        <is>
          <t>Climate Change 2021 – The Physical Science Basis</t>
        </is>
      </c>
      <c r="D41" s="3" t="inlineStr">
        <is>
          <t>Intergovernmental Panel on Climate Change (IPCC)</t>
        </is>
      </c>
      <c r="E41" s="2" t="n">
        <v>2023</v>
      </c>
      <c r="F41" s="3" t="inlineStr">
        <is>
          <t>Cambridge University Press eBooks</t>
        </is>
      </c>
      <c r="G41" s="2" t="inlineStr"/>
      <c r="H41" s="2" t="n">
        <v>6359</v>
      </c>
      <c r="I41" s="2" t="inlineStr">
        <is>
          <t>10.1017/9781009157896</t>
        </is>
      </c>
      <c r="J41" s="2" t="inlineStr">
        <is>
          <t>W4382363623</t>
        </is>
      </c>
      <c r="K41" s="2" t="inlineStr">
        <is>
          <t>doi</t>
        </is>
      </c>
    </row>
    <row r="42">
      <c r="A42" s="2" t="n">
        <v>41</v>
      </c>
      <c r="B42" s="2" t="inlineStr">
        <is>
          <t>luxembourg_flood_management_2015</t>
        </is>
      </c>
      <c r="C42" s="3" t="inlineStr">
        <is>
          <t>Hochwasserrisikomanagementplan für das Großherzogtum Luxemburg</t>
        </is>
      </c>
      <c r="D42" s="3" t="inlineStr">
        <is>
          <t>Ministerium für nachhaltige Entwicklung und Infrastrukturen (MDDI) and Wasserwirtschaftsverwaltung Luxemburg</t>
        </is>
      </c>
      <c r="E42" s="2" t="inlineStr">
        <is>
          <t>2015</t>
        </is>
      </c>
      <c r="F42" s="3" t="inlineStr"/>
      <c r="G42" s="2" t="inlineStr"/>
      <c r="H42" s="2" t="inlineStr">
        <is>
          <t>not indexed</t>
        </is>
      </c>
      <c r="I42" s="2" t="inlineStr"/>
      <c r="J42" s="2" t="inlineStr"/>
      <c r="K42" s="2" t="inlineStr">
        <is>
          <t>none</t>
        </is>
      </c>
    </row>
    <row r="43">
      <c r="A43" s="2" t="n">
        <v>42</v>
      </c>
      <c r="B43" s="2" t="inlineStr">
        <is>
          <t>Apel20223005</t>
        </is>
      </c>
      <c r="C43" s="3" t="inlineStr">
        <is>
          <t>Brief communication: Impact forecasting could substantially improve the emergency management of deadly floods: case study July 2021 floods in Germany</t>
        </is>
      </c>
      <c r="D43" s="3" t="inlineStr">
        <is>
          <t>Apel, Heiko and Vorogushyn, Sergiy and Merz, Bruno</t>
        </is>
      </c>
      <c r="E43" s="2" t="n">
        <v>2022</v>
      </c>
      <c r="F43" s="3" t="inlineStr">
        <is>
          <t>Natural hazards and earth system sciences</t>
        </is>
      </c>
      <c r="G43" s="2" t="inlineStr">
        <is>
          <t>Germany</t>
        </is>
      </c>
      <c r="H43" s="2" t="n">
        <v>74</v>
      </c>
      <c r="I43" s="2" t="inlineStr">
        <is>
          <t>10.5194/nhess-22-3005-2022</t>
        </is>
      </c>
      <c r="J43" s="2" t="inlineStr">
        <is>
          <t>W4296111023</t>
        </is>
      </c>
      <c r="K43" s="2" t="inlineStr">
        <is>
          <t>doi</t>
        </is>
      </c>
    </row>
    <row r="44">
      <c r="A44" s="2" t="n">
        <v>43</v>
      </c>
      <c r="B44" s="2" t="inlineStr">
        <is>
          <t>mathias2019mullerthal_flood</t>
        </is>
      </c>
      <c r="C44" s="3" t="inlineStr">
        <is>
          <t>Major flood event in the Mullerthal region on 1 June 2018: Event analysis and predictability</t>
        </is>
      </c>
      <c r="D44" s="3" t="inlineStr">
        <is>
          <t>Luca Mathias</t>
        </is>
      </c>
      <c r="E44" s="2" t="inlineStr">
        <is>
          <t>2019</t>
        </is>
      </c>
      <c r="F44" s="3" t="inlineStr">
        <is>
          <t>MeteoLux</t>
        </is>
      </c>
      <c r="G44" s="2" t="inlineStr"/>
      <c r="H44" s="2" t="inlineStr">
        <is>
          <t>not indexed</t>
        </is>
      </c>
      <c r="I44" s="2" t="inlineStr"/>
      <c r="J44" s="2" t="inlineStr"/>
      <c r="K44" s="2" t="inlineStr">
        <is>
          <t>none</t>
        </is>
      </c>
    </row>
    <row r="45">
      <c r="A45" s="2" t="n">
        <v>44</v>
      </c>
      <c r="B45" s="2" t="inlineStr">
        <is>
          <t>Koks20223831</t>
        </is>
      </c>
      <c r="C45" s="3" t="inlineStr">
        <is>
          <t>Brief communication: Critical infrastructure impacts of the 2021 mid-July western European flood event</t>
        </is>
      </c>
      <c r="D45" s="3" t="inlineStr">
        <is>
          <t>Koks, Elco E. and Van Ginkel, Kees C. H. and Van Marle, Margreet J. E. and Lemnitzer, Anne</t>
        </is>
      </c>
      <c r="E45" s="2" t="n">
        <v>2022</v>
      </c>
      <c r="F45" s="3" t="inlineStr">
        <is>
          <t>Natural hazards and earth system sciences</t>
        </is>
      </c>
      <c r="G45" s="2" t="inlineStr">
        <is>
          <t>United Kingdom</t>
        </is>
      </c>
      <c r="H45" s="2" t="n">
        <v>127</v>
      </c>
      <c r="I45" s="2" t="inlineStr">
        <is>
          <t>10.5194/nhess-22-3831-2022</t>
        </is>
      </c>
      <c r="J45" s="2" t="inlineStr">
        <is>
          <t>W4310289008</t>
        </is>
      </c>
      <c r="K45" s="2" t="inlineStr">
        <is>
          <t>doi</t>
        </is>
      </c>
    </row>
    <row r="46">
      <c r="A46" s="2" t="n">
        <v>45</v>
      </c>
      <c r="B46" s="2" t="inlineStr">
        <is>
          <t>Bertola2023982</t>
        </is>
      </c>
      <c r="C46" s="3" t="inlineStr">
        <is>
          <t>Megafloods in Europe can be anticipated from observations in hydrologically similar catchments</t>
        </is>
      </c>
      <c r="D46" s="3" t="inlineStr">
        <is>
          <t>Bertola, Miriam and Blöschl, Günter and Bohac, Milon and Borga, Marco and Castellarin, Attilio and Chirico, Giovanni B. and Claps, Pierluigi and Dallan, Eleonora and Danilovich, Irina and Ganora, Daniele and Gorbachova, Liudmyla and Ledvinka, Ondrej and Mavrova-Guirguinova, Maria and Montanari, Alberto and Ovcharuk, Valeriya and Viglione, Alberto and Volpi, Elena and Arheimer, Berit and Aronica, Giuseppe Tito and Bonacci, Ognjen and Čanjevac, Ivan and Csik, Andras and Frolova, Natalia and Gnandt, Boglarka and Gribovszki, Zoltan and Gül, Ali and Günther, Knut and Guse, Björn and Hannaford, Jamie and Harrigan, Shaun and Kireeva, Maria and Kohnová, Silvia and Komma, Jürgen and Kriauciuniene, Jurate and Kronvang, Brian and Lawrence, Deborah and Lüdtke, Stefan and Mediero, Luis and Merz, Bruno and Molnar, Peter and Murphy, Conor and Oskoruš, Dijana and Osuch, Marzena and Parajka, Juraj and Pfister, Laurent and Radevski, Ivan and Sauquet, Eric and Schröter, Kai and Šraj, Mojca and Szolgay, Jan and Turner, Stephen and Valent, Peter and Veijalainen, Noora and Ward, Philip J. and Willems, Patrick and Zivkovic, Nenad</t>
        </is>
      </c>
      <c r="E46" s="2" t="n">
        <v>2023</v>
      </c>
      <c r="F46" s="3" t="inlineStr">
        <is>
          <t>Nature Geoscience</t>
        </is>
      </c>
      <c r="G46" s="2" t="inlineStr">
        <is>
          <t>Austria</t>
        </is>
      </c>
      <c r="H46" s="2" t="n">
        <v>49</v>
      </c>
      <c r="I46" s="2" t="inlineStr">
        <is>
          <t>10.1038/s41561-023-01300-5</t>
        </is>
      </c>
      <c r="J46" s="2" t="inlineStr">
        <is>
          <t>W4388410279</t>
        </is>
      </c>
      <c r="K46" s="2" t="inlineStr">
        <is>
          <t>doi</t>
        </is>
      </c>
    </row>
    <row r="47">
      <c r="A47" s="2" t="n">
        <v>46</v>
      </c>
      <c r="B47" s="2" t="inlineStr">
        <is>
          <t>Kreibich202280</t>
        </is>
      </c>
      <c r="C47" s="3" t="inlineStr">
        <is>
          <t>The challenge of unprecedented floods and droughts in risk management</t>
        </is>
      </c>
      <c r="D47" s="3" t="inlineStr">
        <is>
          <t>Kreibich, Heidi and Van Loon, Anne F. and Schröter, Kai and Ward, Philip J. and Mazzoleni, Maurizio and Sairam, Nivedita and Abeshu, Guta Wakbulcho and Agafonova, Svetlana and AghaKouchak, Amir and Aksoy, Hafzullah and Alvarez-Garreton, Camila and Aznar, Blanca and Balkhi, Laila and Barendrecht, Marlies H. and Biancamaria, Sylvain and Bos-Burgering, Liduin and Bradley, Chris and Budiyono, Yus and Buytaert, Wouter and Capewell, Lucinda and Carlson, Hayley and Cavus, Yonca and Couasnon, Anaïs and Coxon, Gemma and Daliakopoulos, Ioannis and de Ruiter, Marleen C. and Delus, Claire and Erfurt, Mathilde and Esposito, Giuseppe and François, Didier and Frappart, Frédéric and Freer, Jim and Frolova, Natalia and Gain, Animesh K. and Grillakis, Manolis and Grima, Jordi Oriol and Guzmán, Diego A. and Huning, Laurie S. and Ionita, Monica and Kharlamov, Maxim and Khoi, Dao Nguyen and Kieboom, Natalie and Kireeva, Maria and Koutroulis, Aristeidis and Lavado-Casimiro, Waldo and Li, Hong-Yi and LLasat, María Carmen and Macdonald, David and Mård, Johanna and Mathew-Richards, Hannah and McKenzie, Andrew and Mejia, Alfonso and Mendiondo, Eduardo Mario and Mens, Marjolein and Mobini, Shifteh and Mohor, Guilherme Samprogna and Nagavciuc, Viorica and Ngo-Duc, Thanh and Thao Nguyen Huynh, Thi and Nhi, Pham Thi Thao and Petrucci, Olga and Nguyen, Hong Quan and Quintana-Seguí, Pere and Razavi, Saman and Ridolfi, Elena and Riegel, Jannik and Sadik, Md Shibly and Savelli, Elisa and Sazonov, Alexey and Sharma, Sanjib and Sörensen, Johanna and Arguello Souza, Felipe Augusto and Stahl, Kerstin and Steinhausen, Max and Stoelzle, Michael and Szalińska, Wiwiana and Tang, Qiuhong and Tian, Fuqiang and Tokarczyk, Tamara and Tovar, Carolina and Tran, Thi Van Thu and Van Huijgevoort, Marjolein H. J. and van Vliet, Michelle T. H. and Vorogushyn, Sergiy and Wagener, Thorsten and Wang, Yueling and Wendt, Doris E. and Wickham, Elliot and Yang, Long and Zambrano-Bigiarini, Mauricio and Blöschl, Günter and Di Baldassarre, Giuliano</t>
        </is>
      </c>
      <c r="E47" s="2" t="n">
        <v>2022</v>
      </c>
      <c r="F47" s="3" t="inlineStr">
        <is>
          <t>Nature</t>
        </is>
      </c>
      <c r="G47" s="2" t="inlineStr">
        <is>
          <t>Germany</t>
        </is>
      </c>
      <c r="H47" s="2" t="n">
        <v>508</v>
      </c>
      <c r="I47" s="2" t="inlineStr">
        <is>
          <t>10.1038/s41586-022-04917-5</t>
        </is>
      </c>
      <c r="J47" s="2" t="inlineStr">
        <is>
          <t>W4289638372</t>
        </is>
      </c>
      <c r="K47" s="2" t="inlineStr">
        <is>
          <t>doi</t>
        </is>
      </c>
    </row>
    <row r="48">
      <c r="A48" s="2" t="n">
        <v>47</v>
      </c>
      <c r="B48" s="2" t="inlineStr">
        <is>
          <t>LIST2021</t>
        </is>
      </c>
      <c r="C48" s="3" t="inlineStr">
        <is>
          <t>Analyse Préliminaire des Inondations de Juillet 2021</t>
        </is>
      </c>
      <c r="D48" s="3" t="inlineStr">
        <is>
          <t>Luxembourg Institute of Science and Technology (LIST)</t>
        </is>
      </c>
      <c r="E48" s="2" t="inlineStr">
        <is>
          <t>2021</t>
        </is>
      </c>
      <c r="F48" s="3" t="inlineStr"/>
      <c r="G48" s="2" t="inlineStr"/>
      <c r="H48" s="2" t="inlineStr">
        <is>
          <t>not indexed</t>
        </is>
      </c>
      <c r="I48" s="2" t="inlineStr"/>
      <c r="J48" s="2" t="inlineStr"/>
      <c r="K48" s="2" t="inlineStr">
        <is>
          <t>none</t>
        </is>
      </c>
    </row>
    <row r="49">
      <c r="A49" s="2" t="n">
        <v>48</v>
      </c>
      <c r="B49" s="2" t="inlineStr">
        <is>
          <t>Cloke2009613</t>
        </is>
      </c>
      <c r="C49" s="3" t="inlineStr">
        <is>
          <t>Ensemble flood forecasting: A review</t>
        </is>
      </c>
      <c r="D49" s="3" t="inlineStr">
        <is>
          <t>Cloke, H.L. and Pappenberger, F.</t>
        </is>
      </c>
      <c r="E49" s="2" t="n">
        <v>2009</v>
      </c>
      <c r="F49" s="3" t="inlineStr">
        <is>
          <t>Journal of Hydrology</t>
        </is>
      </c>
      <c r="G49" s="2" t="inlineStr">
        <is>
          <t>United Kingdom</t>
        </is>
      </c>
      <c r="H49" s="2" t="n">
        <v>1183</v>
      </c>
      <c r="I49" s="2" t="inlineStr">
        <is>
          <t>10.1016/j.jhydrol.2009.06.005</t>
        </is>
      </c>
      <c r="J49" s="2" t="inlineStr">
        <is>
          <t>W2120933360</t>
        </is>
      </c>
      <c r="K49" s="2" t="inlineStr">
        <is>
          <t>doi</t>
        </is>
      </c>
    </row>
    <row r="50">
      <c r="A50" s="2" t="n">
        <v>49</v>
      </c>
      <c r="B50" s="2" t="inlineStr">
        <is>
          <t>Bauer201547</t>
        </is>
      </c>
      <c r="C50" s="3" t="inlineStr">
        <is>
          <t>The quiet revolution of numerical weather prediction</t>
        </is>
      </c>
      <c r="D50" s="3" t="inlineStr">
        <is>
          <t>Bauer, P. and Thorpe, A. and Brunet, G.</t>
        </is>
      </c>
      <c r="E50" s="2" t="n">
        <v>2015</v>
      </c>
      <c r="F50" s="3" t="inlineStr">
        <is>
          <t>Nature</t>
        </is>
      </c>
      <c r="G50" s="2" t="inlineStr">
        <is>
          <t>United Kingdom</t>
        </is>
      </c>
      <c r="H50" s="2" t="n">
        <v>2699</v>
      </c>
      <c r="I50" s="2" t="inlineStr">
        <is>
          <t>10.1038/nature14956</t>
        </is>
      </c>
      <c r="J50" s="2" t="inlineStr">
        <is>
          <t>W1789155650</t>
        </is>
      </c>
      <c r="K50" s="2" t="inlineStr">
        <is>
          <t>doi</t>
        </is>
      </c>
    </row>
    <row r="51">
      <c r="A51" s="2" t="n">
        <v>50</v>
      </c>
      <c r="B51" s="2" t="inlineStr">
        <is>
          <t>Hu2017586</t>
        </is>
      </c>
      <c r="C51" s="3" t="inlineStr">
        <is>
          <t>Prediction of the future flood severity in plain river network region based on numerical model: A case study</t>
        </is>
      </c>
      <c r="D51" s="3" t="inlineStr">
        <is>
          <t>Hu, Zi-jun and Wang, Ling-ling and Tang, Hong-wu and Qi, Xiao-ming</t>
        </is>
      </c>
      <c r="E51" s="2" t="n">
        <v>2017</v>
      </c>
      <c r="F51" s="3" t="inlineStr">
        <is>
          <t>Journal of Hydrodynamics</t>
        </is>
      </c>
      <c r="G51" s="2" t="inlineStr">
        <is>
          <t>China</t>
        </is>
      </c>
      <c r="H51" s="2" t="n">
        <v>30</v>
      </c>
      <c r="I51" s="2" t="inlineStr">
        <is>
          <t>10.1016/s1001-6058(16)60771-0</t>
        </is>
      </c>
      <c r="J51" s="2" t="inlineStr">
        <is>
          <t>W2735717693</t>
        </is>
      </c>
      <c r="K51" s="2" t="inlineStr">
        <is>
          <t>doi</t>
        </is>
      </c>
    </row>
    <row r="52">
      <c r="A52" s="2" t="n">
        <v>51</v>
      </c>
      <c r="B52" s="2" t="inlineStr">
        <is>
          <t>Jain2018329</t>
        </is>
      </c>
      <c r="C52" s="3" t="inlineStr">
        <is>
          <t>A Brief review of flood forecasting techniques and their applications</t>
        </is>
      </c>
      <c r="D52" s="3" t="inlineStr">
        <is>
          <t>Jain, S.K. and Mani, P. and Jain, S.K. and Prakash, P. and Singh, V.P. and Tullos, D. and Kumar, S. and Agarwal, S.P. and Dimri, A.P.</t>
        </is>
      </c>
      <c r="E52" s="2" t="n">
        <v>2017</v>
      </c>
      <c r="F52" s="3" t="inlineStr">
        <is>
          <t>International Journal of River Basin Management</t>
        </is>
      </c>
      <c r="G52" s="2" t="inlineStr">
        <is>
          <t>India</t>
        </is>
      </c>
      <c r="H52" s="2" t="n">
        <v>275</v>
      </c>
      <c r="I52" s="2" t="inlineStr">
        <is>
          <t>10.1080/15715124.2017.1411920</t>
        </is>
      </c>
      <c r="J52" s="2" t="inlineStr">
        <is>
          <t>W2772453098</t>
        </is>
      </c>
      <c r="K52" s="2" t="inlineStr">
        <is>
          <t>doi</t>
        </is>
      </c>
    </row>
    <row r="53">
      <c r="A53" s="2" t="n">
        <v>52</v>
      </c>
      <c r="B53" s="2" t="inlineStr">
        <is>
          <t>Bracken2008683</t>
        </is>
      </c>
      <c r="C53" s="3" t="inlineStr">
        <is>
          <t>The relationship between rainfall inputs and flood generation in south–east Spain</t>
        </is>
      </c>
      <c r="D53" s="3" t="inlineStr">
        <is>
          <t>Bracken, L.J. and Cox, N.J. and Shannon, J.</t>
        </is>
      </c>
      <c r="E53" s="2" t="n">
        <v>2007</v>
      </c>
      <c r="F53" s="3" t="inlineStr">
        <is>
          <t>Hydrological Processes</t>
        </is>
      </c>
      <c r="G53" s="2" t="inlineStr">
        <is>
          <t>United Kingdom</t>
        </is>
      </c>
      <c r="H53" s="2" t="n">
        <v>141</v>
      </c>
      <c r="I53" s="2" t="inlineStr">
        <is>
          <t>10.1002/hyp.6641</t>
        </is>
      </c>
      <c r="J53" s="2" t="inlineStr">
        <is>
          <t>W2118855647</t>
        </is>
      </c>
      <c r="K53" s="2" t="inlineStr">
        <is>
          <t>doi</t>
        </is>
      </c>
    </row>
    <row r="54">
      <c r="A54" s="2" t="n">
        <v>53</v>
      </c>
      <c r="B54" s="2" t="inlineStr">
        <is>
          <t>Meresa20174245</t>
        </is>
      </c>
      <c r="C54" s="3" t="inlineStr">
        <is>
          <t>The critical role of uncertainty in projections of hydrological extremes</t>
        </is>
      </c>
      <c r="D54" s="3" t="inlineStr">
        <is>
          <t>Meresa, H.K. and Romanowicz, R.J.</t>
        </is>
      </c>
      <c r="E54" s="2" t="n">
        <v>2017</v>
      </c>
      <c r="F54" s="3" t="inlineStr">
        <is>
          <t>Hydrology and earth system sciences</t>
        </is>
      </c>
      <c r="G54" s="2" t="inlineStr">
        <is>
          <t>Poland</t>
        </is>
      </c>
      <c r="H54" s="2" t="n">
        <v>87</v>
      </c>
      <c r="I54" s="2" t="inlineStr">
        <is>
          <t>10.5194/hess-21-4245-2017</t>
        </is>
      </c>
      <c r="J54" s="2" t="inlineStr">
        <is>
          <t>W2566172225</t>
        </is>
      </c>
      <c r="K54" s="2" t="inlineStr">
        <is>
          <t>doi</t>
        </is>
      </c>
    </row>
    <row r="55">
      <c r="A55" s="2" t="n">
        <v>54</v>
      </c>
      <c r="B55" s="2" t="inlineStr">
        <is>
          <t>Bojinski2023</t>
        </is>
      </c>
      <c r="C55" s="3" t="inlineStr">
        <is>
          <t>Towards nowcasting in Europe in 2030</t>
        </is>
      </c>
      <c r="D55" s="3" t="inlineStr">
        <is>
          <t>Bojinski, S. and Blaauboer, D. and Calbet, X. and de Coning, E. and Debie, F. and Montmerle, T. and Nietosvaara, V. and Norman, K. and Bañón Peregrín, L. and Schmid, F. and Strelec Mahović, N. and Wapler, K.</t>
        </is>
      </c>
      <c r="E55" s="2" t="n">
        <v>2023</v>
      </c>
      <c r="F55" s="3" t="inlineStr">
        <is>
          <t>Meteorological Applications</t>
        </is>
      </c>
      <c r="G55" s="2" t="inlineStr">
        <is>
          <t>Germany</t>
        </is>
      </c>
      <c r="H55" s="2" t="n">
        <v>17</v>
      </c>
      <c r="I55" s="2" t="inlineStr">
        <is>
          <t>10.1002/met.2124</t>
        </is>
      </c>
      <c r="J55" s="2" t="inlineStr">
        <is>
          <t>W4383217941</t>
        </is>
      </c>
      <c r="K55" s="2" t="inlineStr">
        <is>
          <t>doi</t>
        </is>
      </c>
    </row>
    <row r="56">
      <c r="A56" s="2" t="n">
        <v>55</v>
      </c>
      <c r="B56" s="2" t="inlineStr">
        <is>
          <t>Ren2022</t>
        </is>
      </c>
      <c r="C56" s="3" t="inlineStr">
        <is>
          <t>Improvements on short-term precipitation forecast in Northwest China based on regionally optimized moisture adjustment scheme for convective-scale NWP</t>
        </is>
      </c>
      <c r="D56" s="3" t="inlineStr">
        <is>
          <t>Ren, X. and Shao, A. and Liu, W. and Li, L.</t>
        </is>
      </c>
      <c r="E56" s="2" t="n">
        <v>2022</v>
      </c>
      <c r="F56" s="3" t="inlineStr">
        <is>
          <t>Atmospheric Research</t>
        </is>
      </c>
      <c r="G56" s="2" t="inlineStr">
        <is>
          <t>China</t>
        </is>
      </c>
      <c r="H56" s="2" t="n">
        <v>3</v>
      </c>
      <c r="I56" s="2" t="inlineStr">
        <is>
          <t>10.1016/j.atmosres.2022.106167</t>
        </is>
      </c>
      <c r="J56" s="2" t="inlineStr">
        <is>
          <t>W4220783220</t>
        </is>
      </c>
      <c r="K56" s="2" t="inlineStr">
        <is>
          <t>doi</t>
        </is>
      </c>
    </row>
    <row r="57">
      <c r="A57" s="2" t="n">
        <v>56</v>
      </c>
      <c r="B57" s="2" t="inlineStr">
        <is>
          <t>DAVIES2024100696</t>
        </is>
      </c>
      <c r="C57" s="3" t="inlineStr">
        <is>
          <t>A new conceptual model for understanding and predicting life-threatening rainfall extremes</t>
        </is>
      </c>
      <c r="D57" s="3" t="inlineStr">
        <is>
          <t>Paul A. Davies and Hayley J. Fowler and Roberto Villalobos Herrera and Julia Slingo and David L.A. Flack and Mateusz Taszarek</t>
        </is>
      </c>
      <c r="E57" s="2" t="n">
        <v>2024</v>
      </c>
      <c r="F57" s="3" t="inlineStr">
        <is>
          <t>Weather and Climate Extremes</t>
        </is>
      </c>
      <c r="G57" s="2" t="inlineStr">
        <is>
          <t>United Kingdom</t>
        </is>
      </c>
      <c r="H57" s="2" t="n">
        <v>7</v>
      </c>
      <c r="I57" s="2" t="inlineStr">
        <is>
          <t>10.1016/j.wace.2024.100696</t>
        </is>
      </c>
      <c r="J57" s="2" t="inlineStr">
        <is>
          <t>W4399555300</t>
        </is>
      </c>
      <c r="K57" s="2" t="inlineStr">
        <is>
          <t>doi</t>
        </is>
      </c>
    </row>
    <row r="58">
      <c r="A58" s="2" t="n">
        <v>57</v>
      </c>
      <c r="B58" s="2" t="inlineStr">
        <is>
          <t>Patel201939</t>
        </is>
      </c>
      <c r="C58" s="3" t="inlineStr">
        <is>
          <t>Performance evaluation of WRF for extreme flood forecasts in a coastal urban environment</t>
        </is>
      </c>
      <c r="D58" s="3" t="inlineStr">
        <is>
          <t>Patel, P. and Ghosh, S. and Kaginalkar, A. and Islam, S. and Karmakar, S.</t>
        </is>
      </c>
      <c r="E58" s="2" t="n">
        <v>2019</v>
      </c>
      <c r="F58" s="3" t="inlineStr">
        <is>
          <t>Atmospheric Research</t>
        </is>
      </c>
      <c r="G58" s="2" t="inlineStr">
        <is>
          <t>India</t>
        </is>
      </c>
      <c r="H58" s="2" t="n">
        <v>71</v>
      </c>
      <c r="I58" s="2" t="inlineStr">
        <is>
          <t>10.1016/j.atmosres.2019.03.005</t>
        </is>
      </c>
      <c r="J58" s="2" t="inlineStr">
        <is>
          <t>W2921188938</t>
        </is>
      </c>
      <c r="K58" s="2" t="inlineStr">
        <is>
          <t>doi</t>
        </is>
      </c>
    </row>
    <row r="59">
      <c r="A59" s="2" t="n">
        <v>58</v>
      </c>
      <c r="B59" s="2" t="inlineStr">
        <is>
          <t>Hong2009818</t>
        </is>
      </c>
      <c r="C59" s="3" t="inlineStr">
        <is>
          <t>Assessment of the WRF model in reproducing a flash-flood heavy rainfall event over Korea</t>
        </is>
      </c>
      <c r="D59" s="3" t="inlineStr">
        <is>
          <t>Hong, S.-Y. and Lee, J.-W.</t>
        </is>
      </c>
      <c r="E59" s="2" t="n">
        <v>2009</v>
      </c>
      <c r="F59" s="3" t="inlineStr">
        <is>
          <t>Atmospheric Research</t>
        </is>
      </c>
      <c r="G59" s="2" t="inlineStr">
        <is>
          <t>South Korea</t>
        </is>
      </c>
      <c r="H59" s="2" t="n">
        <v>136</v>
      </c>
      <c r="I59" s="2" t="inlineStr">
        <is>
          <t>10.1016/j.atmosres.2009.03.015</t>
        </is>
      </c>
      <c r="J59" s="2" t="inlineStr">
        <is>
          <t>W1965401677</t>
        </is>
      </c>
      <c r="K59" s="2" t="inlineStr">
        <is>
          <t>doi</t>
        </is>
      </c>
    </row>
    <row r="60">
      <c r="A60" s="2" t="n">
        <v>59</v>
      </c>
      <c r="B60" s="2" t="inlineStr">
        <is>
          <t>Patel2019PerformanceEnvironment</t>
        </is>
      </c>
      <c r="C60" s="3" t="inlineStr">
        <is>
          <t>Performance evaluation of WRF for extreme flood forecasts in a coastal urban environment</t>
        </is>
      </c>
      <c r="D60" s="3" t="inlineStr">
        <is>
          <t>Patel, Pratiman and Ghosh, Subimal and Kaginalkar, Akshara and Islam, Sahidul and Karmakar, Subhankar</t>
        </is>
      </c>
      <c r="E60" s="2" t="n">
        <v>2019</v>
      </c>
      <c r="F60" s="3" t="inlineStr">
        <is>
          <t>Atmospheric Research</t>
        </is>
      </c>
      <c r="G60" s="2" t="inlineStr">
        <is>
          <t>India</t>
        </is>
      </c>
      <c r="H60" s="2" t="n">
        <v>71</v>
      </c>
      <c r="I60" s="2" t="inlineStr">
        <is>
          <t>10.1016/j.atmosres.2019.03.005</t>
        </is>
      </c>
      <c r="J60" s="2" t="inlineStr">
        <is>
          <t>W2921188938</t>
        </is>
      </c>
      <c r="K60" s="2" t="inlineStr">
        <is>
          <t>doi</t>
        </is>
      </c>
    </row>
    <row r="61">
      <c r="A61" s="2" t="n">
        <v>60</v>
      </c>
      <c r="B61" s="2" t="inlineStr">
        <is>
          <t>Cuo2011713</t>
        </is>
      </c>
      <c r="C61" s="3" t="inlineStr">
        <is>
          <t>A Review of Quantitative Precipitation Forecasts and Their Use in Short- to Medium-Range Streamflow Forecasting</t>
        </is>
      </c>
      <c r="D61" s="3" t="inlineStr">
        <is>
          <t>Cuo, L. and Pagano, T.C. and Wang, Q.J.</t>
        </is>
      </c>
      <c r="E61" s="2" t="n">
        <v>2011</v>
      </c>
      <c r="F61" s="3" t="inlineStr">
        <is>
          <t>Journal of Hydrometeorology</t>
        </is>
      </c>
      <c r="G61" s="2" t="inlineStr">
        <is>
          <t>China</t>
        </is>
      </c>
      <c r="H61" s="2" t="n">
        <v>272</v>
      </c>
      <c r="I61" s="2" t="inlineStr">
        <is>
          <t>10.1175/2011jhm1347.1</t>
        </is>
      </c>
      <c r="J61" s="2" t="inlineStr">
        <is>
          <t>W2149763719</t>
        </is>
      </c>
      <c r="K61" s="2" t="inlineStr">
        <is>
          <t>doi</t>
        </is>
      </c>
    </row>
    <row r="62">
      <c r="A62" s="2" t="n">
        <v>61</v>
      </c>
      <c r="B62" s="2" t="inlineStr">
        <is>
          <t>Sun2014409</t>
        </is>
      </c>
      <c r="C62" s="3" t="inlineStr">
        <is>
          <t>Use of NWP for Nowcasting Convective Precipitation: Recent Progress and Challenges</t>
        </is>
      </c>
      <c r="D62" s="3" t="inlineStr">
        <is>
          <t>Sun, J. and Xue, M. and Wilson, J.W. and Zawadzki, I. and Ballard, S.P. and Onvlee-Hooimeyer, J. and Joe, P. and Barker, D.M. and Li, P.-W. and Golding, B. and Xu, M. and Pinto, J.</t>
        </is>
      </c>
      <c r="E62" s="2" t="n">
        <v>2013</v>
      </c>
      <c r="F62" s="3" t="inlineStr">
        <is>
          <t>Bulletin of the American Meteorological Society</t>
        </is>
      </c>
      <c r="G62" s="2" t="inlineStr">
        <is>
          <t>United States</t>
        </is>
      </c>
      <c r="H62" s="2" t="n">
        <v>585</v>
      </c>
      <c r="I62" s="2" t="inlineStr">
        <is>
          <t>10.1175/bams-d-11-00263.1</t>
        </is>
      </c>
      <c r="J62" s="2" t="inlineStr">
        <is>
          <t>W2024414272</t>
        </is>
      </c>
      <c r="K62" s="2" t="inlineStr">
        <is>
          <t>doi</t>
        </is>
      </c>
    </row>
    <row r="63">
      <c r="A63" s="2" t="n">
        <v>62</v>
      </c>
      <c r="B63" s="2" t="inlineStr">
        <is>
          <t>Chaskos2023OnGreece</t>
        </is>
      </c>
      <c r="C63" s="3" t="inlineStr">
        <is>
          <t>On the Dependence of WRF Model Air Temperature and Precipitation Forecast Skill on the Weather Type for Northwestern Greece</t>
        </is>
      </c>
      <c r="D63" s="3" t="inlineStr">
        <is>
          <t>Chaskos, Dimitrios C. and Lolis, Christos J. and Kotroni, Vasiliki and Bartzokas, Aristides</t>
        </is>
      </c>
      <c r="E63" s="2" t="n">
        <v>2023</v>
      </c>
      <c r="F63" s="3" t="inlineStr">
        <is>
          <t>Environmental Sciences Proceedings 2023, Vol. 26, Page 165</t>
        </is>
      </c>
      <c r="G63" s="2" t="inlineStr">
        <is>
          <t>Greece</t>
        </is>
      </c>
      <c r="H63" s="2" t="n">
        <v>1</v>
      </c>
      <c r="I63" s="2" t="inlineStr">
        <is>
          <t>10.3390/environsciproc2023026165</t>
        </is>
      </c>
      <c r="J63" s="2" t="inlineStr">
        <is>
          <t>W4386416431</t>
        </is>
      </c>
      <c r="K63" s="2" t="inlineStr">
        <is>
          <t>doi</t>
        </is>
      </c>
    </row>
    <row r="64">
      <c r="A64" s="2" t="n">
        <v>63</v>
      </c>
      <c r="B64" s="2" t="inlineStr">
        <is>
          <t>Kocher2023InfluencePrecipitation</t>
        </is>
      </c>
      <c r="C64" s="3" t="inlineStr">
        <is>
          <t>Influence of cloud microphysics schemes on weather model predictions of heavy precipitation</t>
        </is>
      </c>
      <c r="D64" s="3" t="inlineStr">
        <is>
          <t>K\"ocher, Gregor and Zinner, Tobias and Knote, Christoph</t>
        </is>
      </c>
      <c r="E64" s="2" t="n">
        <v>2023</v>
      </c>
      <c r="F64" s="3" t="inlineStr">
        <is>
          <t>Atmospheric chemistry and physics</t>
        </is>
      </c>
      <c r="G64" s="2" t="inlineStr">
        <is>
          <t>Germany</t>
        </is>
      </c>
      <c r="H64" s="2" t="n">
        <v>10</v>
      </c>
      <c r="I64" s="2" t="inlineStr">
        <is>
          <t>10.5194/acp-23-6255-2023</t>
        </is>
      </c>
      <c r="J64" s="2" t="inlineStr">
        <is>
          <t>W4379796274</t>
        </is>
      </c>
      <c r="K64" s="2" t="inlineStr">
        <is>
          <t>doi</t>
        </is>
      </c>
    </row>
    <row r="65">
      <c r="A65" s="2" t="n">
        <v>64</v>
      </c>
      <c r="B65" s="2" t="inlineStr">
        <is>
          <t>Kim2021EffectModel</t>
        </is>
      </c>
      <c r="C65" s="3" t="inlineStr">
        <is>
          <t>Effect of Model Domain on Summer Precipitation Predictions over the Korean Peninsula in WRF Model</t>
        </is>
      </c>
      <c r="D65" s="3" t="inlineStr">
        <is>
          <t>Kim, Hyeong-Gyu and Lee, Hye-Young and Kim, Joowan and Lee, Seungwoo and Boo, Kyung On and Lee, Song-Ee</t>
        </is>
      </c>
      <c r="E65" s="2" t="n">
        <v>2021</v>
      </c>
      <c r="F65" s="3" t="inlineStr">
        <is>
          <t>Atmosphere</t>
        </is>
      </c>
      <c r="G65" s="2" t="inlineStr"/>
      <c r="H65" s="2" t="n">
        <v>0</v>
      </c>
      <c r="I65" s="2" t="inlineStr">
        <is>
          <t>10.14191/atmos.2021.31.1.017</t>
        </is>
      </c>
      <c r="J65" s="2" t="inlineStr">
        <is>
          <t>W3153267808</t>
        </is>
      </c>
      <c r="K65" s="2" t="inlineStr">
        <is>
          <t>doi</t>
        </is>
      </c>
    </row>
    <row r="66">
      <c r="A66" s="2" t="n">
        <v>65</v>
      </c>
      <c r="B66" s="2" t="inlineStr">
        <is>
          <t>Shrestha20131913</t>
        </is>
      </c>
      <c r="C66" s="3" t="inlineStr">
        <is>
          <t>Evaluation of numerical weather prediction model precipitation forecasts for short-term streamflow forecasting purpose</t>
        </is>
      </c>
      <c r="D66" s="3" t="inlineStr">
        <is>
          <t>Shrestha, D.L. and Robertson, D.E. and Wang, Q.J. and Pagano, T.C. and Hapuarachchi, H.A.P.</t>
        </is>
      </c>
      <c r="E66" s="2" t="n">
        <v>2013</v>
      </c>
      <c r="F66" s="3" t="inlineStr">
        <is>
          <t>Hydrology and earth system sciences</t>
        </is>
      </c>
      <c r="G66" s="2" t="inlineStr">
        <is>
          <t>Australia</t>
        </is>
      </c>
      <c r="H66" s="2" t="n">
        <v>129</v>
      </c>
      <c r="I66" s="2" t="inlineStr">
        <is>
          <t>10.5194/hess-17-1913-2013</t>
        </is>
      </c>
      <c r="J66" s="2" t="inlineStr">
        <is>
          <t>W2112056087</t>
        </is>
      </c>
      <c r="K66" s="2" t="inlineStr">
        <is>
          <t>doi</t>
        </is>
      </c>
    </row>
    <row r="67">
      <c r="A67" s="2" t="n">
        <v>66</v>
      </c>
      <c r="B67" s="2" t="inlineStr">
        <is>
          <t>Jee2017SensitivityEvent</t>
        </is>
      </c>
      <c r="C67" s="3" t="inlineStr">
        <is>
          <t>Sensitivity Study on High-Resolution WRF Precipitation Forecast for a Heavy Rainfall Event</t>
        </is>
      </c>
      <c r="D67" s="3" t="inlineStr">
        <is>
          <t>Jee, Joon Bum and Kim, Sangil</t>
        </is>
      </c>
      <c r="E67" s="2" t="n">
        <v>2017</v>
      </c>
      <c r="F67" s="3" t="inlineStr">
        <is>
          <t>Atmosphere</t>
        </is>
      </c>
      <c r="G67" s="2" t="inlineStr">
        <is>
          <t>South Korea</t>
        </is>
      </c>
      <c r="H67" s="2" t="n">
        <v>65</v>
      </c>
      <c r="I67" s="2" t="inlineStr">
        <is>
          <t>10.3390/atmos8060096</t>
        </is>
      </c>
      <c r="J67" s="2" t="inlineStr">
        <is>
          <t>W2617225735</t>
        </is>
      </c>
      <c r="K67" s="2" t="inlineStr">
        <is>
          <t>doi</t>
        </is>
      </c>
    </row>
    <row r="68">
      <c r="A68" s="2" t="n">
        <v>67</v>
      </c>
      <c r="B68" s="2" t="inlineStr">
        <is>
          <t>Ghile20101005</t>
        </is>
      </c>
      <c r="C68" s="3" t="inlineStr">
        <is>
          <t>Evaluation of Three Numerical Weather Prediction Models for Short and Medium Range Agrohydrological Applications</t>
        </is>
      </c>
      <c r="D68" s="3" t="inlineStr">
        <is>
          <t>Ghile, Y.B. and Schulze, R.E.</t>
        </is>
      </c>
      <c r="E68" s="2" t="n">
        <v>2009</v>
      </c>
      <c r="F68" s="3" t="inlineStr">
        <is>
          <t>Water Resources Management</t>
        </is>
      </c>
      <c r="G68" s="2" t="inlineStr">
        <is>
          <t>United States</t>
        </is>
      </c>
      <c r="H68" s="2" t="n">
        <v>23</v>
      </c>
      <c r="I68" s="2" t="inlineStr">
        <is>
          <t>10.1007/s11269-009-9483-5</t>
        </is>
      </c>
      <c r="J68" s="2" t="inlineStr">
        <is>
          <t>W2045563434</t>
        </is>
      </c>
      <c r="K68" s="2" t="inlineStr">
        <is>
          <t>doi</t>
        </is>
      </c>
    </row>
    <row r="69">
      <c r="A69" s="2" t="n">
        <v>68</v>
      </c>
      <c r="B69" s="2" t="inlineStr">
        <is>
          <t>Castorina2022ImpactItaly</t>
        </is>
      </c>
      <c r="C69" s="3" t="inlineStr">
        <is>
          <t>Impact of the Different Grid Resolutions of the WRF Model for the Forecasting of the Flood Event of 15 July 2020 in Palermo (Italy)</t>
        </is>
      </c>
      <c r="D69" s="3" t="inlineStr">
        <is>
          <t>Castorina, Giuseppe and Caccamo, Maria Teresa and Insinga, Vincenzo and Magaz\`u, Salvatore and Muna\`o, Gianmarco and Ortega, Claudio and Semprebello, Agostino and Rizza, Umberto</t>
        </is>
      </c>
      <c r="E69" s="2" t="n">
        <v>2022</v>
      </c>
      <c r="F69" s="3" t="inlineStr">
        <is>
          <t>Atmosphere</t>
        </is>
      </c>
      <c r="G69" s="2" t="inlineStr">
        <is>
          <t>Italy</t>
        </is>
      </c>
      <c r="H69" s="2" t="n">
        <v>10</v>
      </c>
      <c r="I69" s="2" t="inlineStr">
        <is>
          <t>10.3390/atmos13101717</t>
        </is>
      </c>
      <c r="J69" s="2" t="inlineStr">
        <is>
          <t>W4306837401</t>
        </is>
      </c>
      <c r="K69" s="2" t="inlineStr">
        <is>
          <t>doi</t>
        </is>
      </c>
    </row>
    <row r="70">
      <c r="A70" s="2" t="n">
        <v>69</v>
      </c>
      <c r="B70" s="2" t="inlineStr">
        <is>
          <t>Zhang2020NumericalChina</t>
        </is>
      </c>
      <c r="C70" s="3" t="inlineStr">
        <is>
          <t>Numerical Simulation Analysis of the Impact of Urbanization on an Extreme Precipitation Event over Beijing–Tianjin–Hebei, China</t>
        </is>
      </c>
      <c r="D70" s="3" t="inlineStr">
        <is>
          <t>Zhang, Jing and Zhou, Yu Shu and Shen, Xin Yong</t>
        </is>
      </c>
      <c r="E70" s="2" t="n">
        <v>2020</v>
      </c>
      <c r="F70" s="3" t="inlineStr">
        <is>
          <t>Atmosphere</t>
        </is>
      </c>
      <c r="G70" s="2" t="inlineStr">
        <is>
          <t>China</t>
        </is>
      </c>
      <c r="H70" s="2" t="n">
        <v>13</v>
      </c>
      <c r="I70" s="2" t="inlineStr">
        <is>
          <t>10.3390/atmos11090945</t>
        </is>
      </c>
      <c r="J70" s="2" t="inlineStr">
        <is>
          <t>W3083611700</t>
        </is>
      </c>
      <c r="K70" s="2" t="inlineStr">
        <is>
          <t>doi</t>
        </is>
      </c>
    </row>
    <row r="71">
      <c r="A71" s="2" t="n">
        <v>70</v>
      </c>
      <c r="B71" s="2" t="inlineStr">
        <is>
          <t>Olaniyan2022</t>
        </is>
      </c>
      <c r="C71" s="3" t="inlineStr">
        <is>
          <t>Performance evaluation of a &lt;scp&gt;high‐resolution&lt;/scp&gt; regional model over West Africa for operational use: A case study of August 2017</t>
        </is>
      </c>
      <c r="D71" s="3" t="inlineStr">
        <is>
          <t>Olaniyan, E.A. and Cafaro, C. and Ogungbenro, S.B. and Gbode, I.E. and Ajayi, V.O. and Oluleye, A. and Adefisan, E.A. and Schwendike, J. and Lawal, K.A.</t>
        </is>
      </c>
      <c r="E71" s="2" t="n">
        <v>2022</v>
      </c>
      <c r="F71" s="3" t="inlineStr">
        <is>
          <t>Meteorological Applications</t>
        </is>
      </c>
      <c r="G71" s="2" t="inlineStr">
        <is>
          <t>NG</t>
        </is>
      </c>
      <c r="H71" s="2" t="n">
        <v>4</v>
      </c>
      <c r="I71" s="2" t="inlineStr">
        <is>
          <t>10.1002/met.2080</t>
        </is>
      </c>
      <c r="J71" s="2" t="inlineStr">
        <is>
          <t>W4292084568</t>
        </is>
      </c>
      <c r="K71" s="2" t="inlineStr">
        <is>
          <t>doi</t>
        </is>
      </c>
    </row>
    <row r="72">
      <c r="A72" s="2" t="n">
        <v>71</v>
      </c>
      <c r="B72" s="2" t="inlineStr">
        <is>
          <t>Liu2014195</t>
        </is>
      </c>
      <c r="C72" s="3" t="inlineStr">
        <is>
          <t>Spatiotemporal characteristics, patterns, and causes of land-use changes in China since the late 1980s</t>
        </is>
      </c>
      <c r="D72" s="3" t="inlineStr">
        <is>
          <t>Liu, J. and Kuang, W. and Zhang, Z. and Xu, X. and Qin, Y. and Ning, J. and Zhou, W. and Zhang, S. and Li, R. and Yan, C. and Wu, S. and Shi, X. and Jiang, N. and Yu, D. and Pan, X. and Chi, W.</t>
        </is>
      </c>
      <c r="E72" s="2" t="n">
        <v>2014</v>
      </c>
      <c r="F72" s="3" t="inlineStr">
        <is>
          <t>Journal of Geographical Sciences</t>
        </is>
      </c>
      <c r="G72" s="2" t="inlineStr">
        <is>
          <t>China</t>
        </is>
      </c>
      <c r="H72" s="2" t="n">
        <v>1783</v>
      </c>
      <c r="I72" s="2" t="inlineStr">
        <is>
          <t>10.1007/s11442-014-1082-6</t>
        </is>
      </c>
      <c r="J72" s="2" t="inlineStr">
        <is>
          <t>W1969589719</t>
        </is>
      </c>
      <c r="K72" s="2" t="inlineStr">
        <is>
          <t>doi</t>
        </is>
      </c>
    </row>
    <row r="73">
      <c r="A73" s="2" t="n">
        <v>72</v>
      </c>
      <c r="B73" s="2" t="inlineStr">
        <is>
          <t>Zhao2018AssessingScore</t>
        </is>
      </c>
      <c r="C73" s="3" t="inlineStr">
        <is>
          <t>Assessing Hourly Precipitation Forecast Skill with the Fractions Skill Score</t>
        </is>
      </c>
      <c r="D73" s="3" t="inlineStr">
        <is>
          <t>Zhao, Bin and Zhang, Bo</t>
        </is>
      </c>
      <c r="E73" s="2" t="n">
        <v>2018</v>
      </c>
      <c r="F73" s="3" t="inlineStr">
        <is>
          <t>Journal of Meteorological Research</t>
        </is>
      </c>
      <c r="G73" s="2" t="inlineStr">
        <is>
          <t>China</t>
        </is>
      </c>
      <c r="H73" s="2" t="n">
        <v>20</v>
      </c>
      <c r="I73" s="2" t="inlineStr">
        <is>
          <t>10.1007/s13351-018-7058-1</t>
        </is>
      </c>
      <c r="J73" s="2" t="inlineStr">
        <is>
          <t>W2757796094</t>
        </is>
      </c>
      <c r="K73" s="2" t="inlineStr">
        <is>
          <t>title</t>
        </is>
      </c>
    </row>
    <row r="74">
      <c r="A74" s="2" t="n">
        <v>73</v>
      </c>
      <c r="B74" s="2" t="inlineStr">
        <is>
          <t>Park2016DataApplications</t>
        </is>
      </c>
      <c r="C74" s="3" t="inlineStr">
        <is>
          <t>Data Assimilation for Atmospheric, Oceanic and Hydrologic Applications (Vol. III)</t>
        </is>
      </c>
      <c r="D74" s="3" t="inlineStr">
        <is>
          <t>Park, Seon Ki and Xu, Liang</t>
        </is>
      </c>
      <c r="E74" s="2" t="n">
        <v>2016</v>
      </c>
      <c r="F74" s="3" t="inlineStr">
        <is>
          <t>Data Assimilation for Atmospheric, Oceanic and Hydrologic Applications (Vol. III)</t>
        </is>
      </c>
      <c r="G74" s="2" t="inlineStr">
        <is>
          <t>United States</t>
        </is>
      </c>
      <c r="H74" s="2" t="n">
        <v>113</v>
      </c>
      <c r="I74" s="2" t="inlineStr">
        <is>
          <t>10.1007/978-3-319-43415-5</t>
        </is>
      </c>
      <c r="J74" s="2" t="inlineStr">
        <is>
          <t>W1607936686</t>
        </is>
      </c>
      <c r="K74" s="2" t="inlineStr">
        <is>
          <t>doi</t>
        </is>
      </c>
    </row>
    <row r="75">
      <c r="A75" s="2" t="n">
        <v>74</v>
      </c>
      <c r="B75" s="2" t="inlineStr">
        <is>
          <t>Jacques20171473</t>
        </is>
      </c>
      <c r="C75" s="3" t="inlineStr">
        <is>
          <t>Developing a Convective-Scale EnKF Data Assimilation System for the Canadian MEOPAR Project</t>
        </is>
      </c>
      <c r="D75" s="3" t="inlineStr">
        <is>
          <t>Jacques, D. and Chang, W. and Baek, S.-J. and Milewski, T. and Fillion, L. and Chung, K.-S. and Ritchie, H.</t>
        </is>
      </c>
      <c r="E75" s="2" t="n">
        <v>2017</v>
      </c>
      <c r="F75" s="3" t="inlineStr">
        <is>
          <t>Monthly Weather Review</t>
        </is>
      </c>
      <c r="G75" s="2" t="inlineStr">
        <is>
          <t>Canada</t>
        </is>
      </c>
      <c r="H75" s="2" t="n">
        <v>11</v>
      </c>
      <c r="I75" s="2" t="inlineStr">
        <is>
          <t>10.1175/mwr-d-16-0135.1</t>
        </is>
      </c>
      <c r="J75" s="2" t="inlineStr">
        <is>
          <t>W2571451131</t>
        </is>
      </c>
      <c r="K75" s="2" t="inlineStr">
        <is>
          <t>doi</t>
        </is>
      </c>
    </row>
    <row r="76">
      <c r="A76" s="2" t="n">
        <v>75</v>
      </c>
      <c r="B76" s="2" t="inlineStr">
        <is>
          <t>Vladimirov2020263</t>
        </is>
      </c>
      <c r="C76" s="3" t="inlineStr">
        <is>
          <t>Impact of Data Assimilation on Short-Term Precipitation Forecasts Using WRF-ARW Model</t>
        </is>
      </c>
      <c r="D76" s="3" t="inlineStr">
        <is>
          <t>Vladimirov, E. and Dimitrova, R. and Danchovski, V.</t>
        </is>
      </c>
      <c r="E76" s="2" t="n">
        <v>2020</v>
      </c>
      <c r="F76" s="3" t="inlineStr">
        <is>
          <t>Lecture notes in computer science</t>
        </is>
      </c>
      <c r="G76" s="2" t="inlineStr">
        <is>
          <t>Bulgaria</t>
        </is>
      </c>
      <c r="H76" s="2" t="n">
        <v>0</v>
      </c>
      <c r="I76" s="2" t="inlineStr">
        <is>
          <t>10.1007/978-3-030-41032-2_30</t>
        </is>
      </c>
      <c r="J76" s="2" t="inlineStr">
        <is>
          <t>W3006575918</t>
        </is>
      </c>
      <c r="K76" s="2" t="inlineStr">
        <is>
          <t>doi</t>
        </is>
      </c>
    </row>
    <row r="77">
      <c r="A77" s="2" t="n">
        <v>76</v>
      </c>
      <c r="B77" s="2" t="inlineStr">
        <is>
          <t>Siewert2023</t>
        </is>
      </c>
      <c r="C77" s="3" t="inlineStr">
        <is>
          <t>Evaluation of High-Resolution Land Cover Geographical Data for the WRF Model Simulations</t>
        </is>
      </c>
      <c r="D77" s="3" t="inlineStr">
        <is>
          <t>Siewert, J. and Kroszczynski, K.</t>
        </is>
      </c>
      <c r="E77" s="2" t="n">
        <v>2023</v>
      </c>
      <c r="F77" s="3" t="inlineStr">
        <is>
          <t>Remote Sensing</t>
        </is>
      </c>
      <c r="G77" s="2" t="inlineStr">
        <is>
          <t>Poland</t>
        </is>
      </c>
      <c r="H77" s="2" t="n">
        <v>19</v>
      </c>
      <c r="I77" s="2" t="inlineStr">
        <is>
          <t>10.3390/rs15092389</t>
        </is>
      </c>
      <c r="J77" s="2" t="inlineStr">
        <is>
          <t>W4368405110</t>
        </is>
      </c>
      <c r="K77" s="2" t="inlineStr">
        <is>
          <t>doi</t>
        </is>
      </c>
    </row>
    <row r="78">
      <c r="A78" s="2" t="n">
        <v>77</v>
      </c>
      <c r="B78" s="2" t="inlineStr">
        <is>
          <t>Wang2017</t>
        </is>
      </c>
      <c r="C78" s="3" t="inlineStr">
        <is>
          <t>Forecasting and Providing Warnings of Flash Floods for Ungauged Mountainous Areas Based on a Distributed Hydrological Model</t>
        </is>
      </c>
      <c r="D78" s="3" t="inlineStr">
        <is>
          <t>Wang, Y. and Liu, R. and Guo, L. and Tian, J. and Zhang, X. and Ding, L. and Wang, C. and Shang, Y.</t>
        </is>
      </c>
      <c r="E78" s="2" t="n">
        <v>2017</v>
      </c>
      <c r="F78" s="3" t="inlineStr">
        <is>
          <t>Water</t>
        </is>
      </c>
      <c r="G78" s="2" t="inlineStr">
        <is>
          <t>China</t>
        </is>
      </c>
      <c r="H78" s="2" t="n">
        <v>32</v>
      </c>
      <c r="I78" s="2" t="inlineStr">
        <is>
          <t>10.3390/w9100776</t>
        </is>
      </c>
      <c r="J78" s="2" t="inlineStr">
        <is>
          <t>W2763290211</t>
        </is>
      </c>
      <c r="K78" s="2" t="inlineStr">
        <is>
          <t>doi</t>
        </is>
      </c>
    </row>
    <row r="79">
      <c r="A79" s="2" t="n">
        <v>78</v>
      </c>
      <c r="B79" s="2" t="inlineStr">
        <is>
          <t>Giannaros2020</t>
        </is>
      </c>
      <c r="C79" s="3" t="inlineStr">
        <is>
          <t>Assessing the Impact of GNSS ZTD Data Assimilation into the WRF Modeling System during High-Impact Rainfall Events over Greece</t>
        </is>
      </c>
      <c r="D79" s="3" t="inlineStr">
        <is>
          <t>Giannaros, C. and Kotroni, V. and Lagouvardos, K. and Giannaros, T.M. and Pikridas, C.</t>
        </is>
      </c>
      <c r="E79" s="2" t="n">
        <v>2020</v>
      </c>
      <c r="F79" s="3" t="inlineStr">
        <is>
          <t>Remote Sensing</t>
        </is>
      </c>
      <c r="G79" s="2" t="inlineStr">
        <is>
          <t>Greece</t>
        </is>
      </c>
      <c r="H79" s="2" t="n">
        <v>59</v>
      </c>
      <c r="I79" s="2" t="inlineStr">
        <is>
          <t>10.3390/rs12030383</t>
        </is>
      </c>
      <c r="J79" s="2" t="inlineStr">
        <is>
          <t>W3003909901</t>
        </is>
      </c>
      <c r="K79" s="2" t="inlineStr">
        <is>
          <t>doi</t>
        </is>
      </c>
    </row>
    <row r="80">
      <c r="A80" s="2" t="n">
        <v>79</v>
      </c>
      <c r="B80" s="2" t="inlineStr">
        <is>
          <t>Jee2016</t>
        </is>
      </c>
      <c r="C80" s="3" t="inlineStr">
        <is>
          <t>Sensitivity Study on High-Resolution Numerical Modeling of Static Topographic Data</t>
        </is>
      </c>
      <c r="D80" s="3" t="inlineStr">
        <is>
          <t>Jee, J.-B. and Kim, S.</t>
        </is>
      </c>
      <c r="E80" s="2" t="n">
        <v>2016</v>
      </c>
      <c r="F80" s="3" t="inlineStr">
        <is>
          <t>Atmosphere</t>
        </is>
      </c>
      <c r="G80" s="2" t="inlineStr">
        <is>
          <t>South Korea</t>
        </is>
      </c>
      <c r="H80" s="2" t="n">
        <v>10</v>
      </c>
      <c r="I80" s="2" t="inlineStr">
        <is>
          <t>10.3390/atmos7070086</t>
        </is>
      </c>
      <c r="J80" s="2" t="inlineStr">
        <is>
          <t>W2460141120</t>
        </is>
      </c>
      <c r="K80" s="2" t="inlineStr">
        <is>
          <t>doi</t>
        </is>
      </c>
    </row>
    <row r="81">
      <c r="A81" s="2" t="n">
        <v>80</v>
      </c>
      <c r="B81" s="2" t="inlineStr">
        <is>
          <t>Lupascu2015Using</t>
        </is>
      </c>
      <c r="C81" s="3" t="inlineStr">
        <is>
          <t>Using a high resolution topographic data set and analysis of the impact on the forecast of meteorological parameters Satellite and in-situ information for advanced air quality forecast services-SiAiR View project SusKat-ABC View project USING A HIGH RESOLUTION TOPOGRAPHIC DATA SET AND ANALYSIS OF THE IMPACT ON THE FORECAST OF METEOROLOGICAL PARAMETERS *</t>
        </is>
      </c>
      <c r="D81" s="3" t="inlineStr">
        <is>
          <t>Lupascu, Aura and Lupa, A and Iriza, A and Dumitrache, R C</t>
        </is>
      </c>
      <c r="E81" s="2" t="inlineStr">
        <is>
          <t>2015</t>
        </is>
      </c>
      <c r="F81" s="3" t="inlineStr">
        <is>
          <t>Romanian Reports in Physics</t>
        </is>
      </c>
      <c r="G81" s="2" t="inlineStr"/>
      <c r="H81" s="2" t="inlineStr">
        <is>
          <t>not indexed</t>
        </is>
      </c>
      <c r="I81" s="2" t="inlineStr"/>
      <c r="J81" s="2" t="inlineStr"/>
      <c r="K81" s="2" t="inlineStr">
        <is>
          <t>none</t>
        </is>
      </c>
    </row>
    <row r="82">
      <c r="A82" s="2" t="n">
        <v>81</v>
      </c>
      <c r="B82" s="2" t="inlineStr">
        <is>
          <t>Golzio2021Land-UseSizes</t>
        </is>
      </c>
      <c r="C82" s="3" t="inlineStr">
        <is>
          <t>Land-Use Improvements in the Weather Research and Forecasting Model over Complex Mountainous Terrain and Comparison of Different Grid Sizes</t>
        </is>
      </c>
      <c r="D82" s="3" t="inlineStr">
        <is>
          <t>Golzio, Alessio and Ferrarese, Silvia and Cassardo, Claudio and Diolaiuti, Gugliemina Adele and Pelfini, Manuela</t>
        </is>
      </c>
      <c r="E82" s="2" t="n">
        <v>2021</v>
      </c>
      <c r="F82" s="3" t="inlineStr">
        <is>
          <t>Boundary-Layer Meteorology</t>
        </is>
      </c>
      <c r="G82" s="2" t="inlineStr">
        <is>
          <t>Italy</t>
        </is>
      </c>
      <c r="H82" s="2" t="n">
        <v>35</v>
      </c>
      <c r="I82" s="2" t="inlineStr">
        <is>
          <t>10.1007/s10546-021-00617-1</t>
        </is>
      </c>
      <c r="J82" s="2" t="inlineStr">
        <is>
          <t>W3158476803</t>
        </is>
      </c>
      <c r="K82" s="2" t="inlineStr">
        <is>
          <t>title</t>
        </is>
      </c>
    </row>
    <row r="83">
      <c r="A83" s="2" t="n">
        <v>82</v>
      </c>
      <c r="B83" s="2" t="inlineStr">
        <is>
          <t>Xing2019ModelingChina</t>
        </is>
      </c>
      <c r="C83" s="3" t="inlineStr">
        <is>
          <t>Modeling the Impacts of Urbanization and Open Water Surface on Heavy Convective Rainfall: A Case Study over the Emerging Xiong'an City, China</t>
        </is>
      </c>
      <c r="D83" s="3" t="inlineStr">
        <is>
          <t>Xing, Yue and Ni, Guangheng and Yang, Long and Yang, Yan and Xing, Pei and Sun, Ting</t>
        </is>
      </c>
      <c r="E83" s="2" t="n">
        <v>2019</v>
      </c>
      <c r="F83" s="3" t="inlineStr">
        <is>
          <t>Journal of Geophysical Research Atmospheres</t>
        </is>
      </c>
      <c r="G83" s="2" t="inlineStr">
        <is>
          <t>China</t>
        </is>
      </c>
      <c r="H83" s="2" t="n">
        <v>20</v>
      </c>
      <c r="I83" s="2" t="inlineStr">
        <is>
          <t>10.1029/2019jd030359</t>
        </is>
      </c>
      <c r="J83" s="2" t="inlineStr">
        <is>
          <t>W2967123080</t>
        </is>
      </c>
      <c r="K83" s="2" t="inlineStr">
        <is>
          <t>doi</t>
        </is>
      </c>
    </row>
    <row r="84">
      <c r="A84" s="2" t="n">
        <v>83</v>
      </c>
      <c r="B84" s="2" t="inlineStr">
        <is>
          <t>Zheng2021ImpactsSimulations</t>
        </is>
      </c>
      <c r="C84" s="3" t="inlineStr">
        <is>
          <t>Impacts of land cover heterogeneity and land surface parameterizations on turbulent characteristics and mesoscale simulations</t>
        </is>
      </c>
      <c r="D84" s="3" t="inlineStr">
        <is>
          <t>Zheng, Yue and Brunsell, Nathaniel A. and Alfieri, Joseph G. and Niyogi, Dev</t>
        </is>
      </c>
      <c r="E84" s="2" t="n">
        <v>2021</v>
      </c>
      <c r="F84" s="3" t="inlineStr">
        <is>
          <t>Meteorology and Atmospheric Physics</t>
        </is>
      </c>
      <c r="G84" s="2" t="inlineStr">
        <is>
          <t>United States</t>
        </is>
      </c>
      <c r="H84" s="2" t="n">
        <v>10</v>
      </c>
      <c r="I84" s="2" t="inlineStr">
        <is>
          <t>10.1007/s00703-020-00768-9</t>
        </is>
      </c>
      <c r="J84" s="2" t="inlineStr">
        <is>
          <t>W3120954442</t>
        </is>
      </c>
      <c r="K84" s="2" t="inlineStr">
        <is>
          <t>title</t>
        </is>
      </c>
    </row>
    <row r="85">
      <c r="A85" s="2" t="n">
        <v>84</v>
      </c>
      <c r="B85" s="2" t="inlineStr">
        <is>
          <t>HirschImpactHemisphere</t>
        </is>
      </c>
      <c r="C85" s="3" t="inlineStr">
        <is>
          <t>Impact of Land Surface Initialization Approach on Subseasonal Forecast Skill: A Regional Analysis in the Southern Hemisphere</t>
        </is>
      </c>
      <c r="D85" s="3" t="inlineStr">
        <is>
          <t>Hirsch, Annette L and Kala, Jatin and Pitman, Andy J and Carouge, Claire and Evans, Jason P and Haverd, Vanessa and Mocko, David</t>
        </is>
      </c>
      <c r="E85" s="2" t="n">
        <v>2013</v>
      </c>
      <c r="F85" s="3" t="inlineStr">
        <is>
          <t>Journal of Hydrometeorology</t>
        </is>
      </c>
      <c r="G85" s="2" t="inlineStr">
        <is>
          <t>Australia</t>
        </is>
      </c>
      <c r="H85" s="2" t="n">
        <v>45</v>
      </c>
      <c r="I85" s="2" t="inlineStr">
        <is>
          <t>10.1175/jhm-d-13-05.1</t>
        </is>
      </c>
      <c r="J85" s="2" t="inlineStr">
        <is>
          <t>W2143365427</t>
        </is>
      </c>
      <c r="K85" s="2" t="inlineStr">
        <is>
          <t>doi</t>
        </is>
      </c>
    </row>
    <row r="86">
      <c r="A86" s="2" t="n">
        <v>85</v>
      </c>
      <c r="B86" s="2" t="inlineStr">
        <is>
          <t>Lopez-Espinoza2020AssessingMexico</t>
        </is>
      </c>
      <c r="C86" s="3" t="inlineStr">
        <is>
          <t>Assessing the Impact of Land Use and Land Cover Data Representation on Weather Forecast Quality: A Case Study in Central Mexico</t>
        </is>
      </c>
      <c r="D86" s="3" t="inlineStr">
        <is>
          <t>L\'opez-Espinoza, Erika Danaé and Zavala-Hidalgo, Jorge and Mahmood, Rezaul and G\'omez-Ramos, Octavio</t>
        </is>
      </c>
      <c r="E86" s="2" t="n">
        <v>2020</v>
      </c>
      <c r="F86" s="3" t="inlineStr">
        <is>
          <t>Atmosphere</t>
        </is>
      </c>
      <c r="G86" s="2" t="inlineStr">
        <is>
          <t>Mexico</t>
        </is>
      </c>
      <c r="H86" s="2" t="n">
        <v>28</v>
      </c>
      <c r="I86" s="2" t="inlineStr">
        <is>
          <t>10.3390/atmos11111242</t>
        </is>
      </c>
      <c r="J86" s="2" t="inlineStr">
        <is>
          <t>W3102812172</t>
        </is>
      </c>
      <c r="K86" s="2" t="inlineStr">
        <is>
          <t>doi</t>
        </is>
      </c>
    </row>
    <row r="87">
      <c r="A87" s="2" t="n">
        <v>86</v>
      </c>
      <c r="B87" s="2" t="inlineStr">
        <is>
          <t>Li2020Incoming3.7.1</t>
        </is>
      </c>
      <c r="C87" s="3" t="inlineStr">
        <is>
          <t>Incoming data quality control in high-resolution urban climate simulations: a Hong Kong–Shenzhen area urban climate simulation as a case study using the WRF/Noah LSM/SLUCM model (Version 3.7.1)</t>
        </is>
      </c>
      <c r="D87" s="3" t="inlineStr">
        <is>
          <t>Li, Zhiqiang and Wan, Bingcheng and Zhou, Yulun and Wong, Hokit</t>
        </is>
      </c>
      <c r="E87" s="2" t="n">
        <v>2020</v>
      </c>
      <c r="F87" s="3" t="inlineStr">
        <is>
          <t>Geoscientific model development</t>
        </is>
      </c>
      <c r="G87" s="2" t="inlineStr">
        <is>
          <t>Hong Kong</t>
        </is>
      </c>
      <c r="H87" s="2" t="n">
        <v>3</v>
      </c>
      <c r="I87" s="2" t="inlineStr">
        <is>
          <t>10.5194/gmd-13-6349-2020</t>
        </is>
      </c>
      <c r="J87" s="2" t="inlineStr">
        <is>
          <t>W3014581760</t>
        </is>
      </c>
      <c r="K87" s="2" t="inlineStr">
        <is>
          <t>doi</t>
        </is>
      </c>
    </row>
    <row r="88">
      <c r="A88" s="2" t="n">
        <v>87</v>
      </c>
      <c r="B88" s="2" t="inlineStr">
        <is>
          <t>ClaudiaTorcasioTheModel</t>
        </is>
      </c>
      <c r="C88" s="3" t="inlineStr">
        <is>
          <t>The impact of global navigation satellite system (GNSS) zenith total delay data assimilation on the short-term precipitable water vapor and precipitation forecast over Italy using the Weather Research and Forecasting (WRF) model</t>
        </is>
      </c>
      <c r="D88" s="3" t="inlineStr">
        <is>
          <t>Torcasio, Rosa Claudia and Mascitelli, Alessandra and Realini, Eugenio and Barindelli, Stefano and Tagliaferro, Giulio and Puca, Silvia and Dietrich, Stefano and Federico, Stefano</t>
        </is>
      </c>
      <c r="E88" s="2" t="n">
        <v>2023</v>
      </c>
      <c r="F88" s="3" t="inlineStr">
        <is>
          <t>Natural hazards and earth system sciences</t>
        </is>
      </c>
      <c r="G88" s="2" t="inlineStr">
        <is>
          <t>Italy</t>
        </is>
      </c>
      <c r="H88" s="2" t="n">
        <v>21</v>
      </c>
      <c r="I88" s="2" t="inlineStr">
        <is>
          <t>10.5194/nhess-23-3319-2023</t>
        </is>
      </c>
      <c r="J88" s="2" t="inlineStr">
        <is>
          <t>W4388183666</t>
        </is>
      </c>
      <c r="K88" s="2" t="inlineStr">
        <is>
          <t>doi</t>
        </is>
      </c>
    </row>
    <row r="89">
      <c r="A89" s="2" t="n">
        <v>88</v>
      </c>
      <c r="B89" s="2" t="inlineStr">
        <is>
          <t>Hou2013</t>
        </is>
      </c>
      <c r="C89" s="3" t="inlineStr">
        <is>
          <t>Impact of 3DVAR Data Assimilation on the Prediction of Heavy Rainfall over Southern China</t>
        </is>
      </c>
      <c r="D89" s="3" t="inlineStr">
        <is>
          <t>Hou, T. and Kong, F. and Chen, X. and Lei, H.</t>
        </is>
      </c>
      <c r="E89" s="2" t="n">
        <v>2013</v>
      </c>
      <c r="F89" s="3" t="inlineStr">
        <is>
          <t>Advances in Meteorology</t>
        </is>
      </c>
      <c r="G89" s="2" t="inlineStr">
        <is>
          <t>China</t>
        </is>
      </c>
      <c r="H89" s="2" t="n">
        <v>29</v>
      </c>
      <c r="I89" s="2" t="inlineStr">
        <is>
          <t>10.1155/2013/129642</t>
        </is>
      </c>
      <c r="J89" s="2" t="inlineStr">
        <is>
          <t>W2053770540</t>
        </is>
      </c>
      <c r="K89" s="2" t="inlineStr">
        <is>
          <t>doi</t>
        </is>
      </c>
    </row>
    <row r="90">
      <c r="A90" s="2" t="n">
        <v>89</v>
      </c>
      <c r="B90" s="2" t="inlineStr">
        <is>
          <t>Nikpour202211919</t>
        </is>
      </c>
      <c r="C90" s="3" t="inlineStr">
        <is>
          <t>Coupled data pre-processing approach with data intelligence models for monthly precipitation forecasting</t>
        </is>
      </c>
      <c r="D90" s="3" t="inlineStr">
        <is>
          <t>Nikpour, M.R. and Abdollahi, S. and Sanikhani, H. and Raeisi, J. and Yaseen, Z.M.</t>
        </is>
      </c>
      <c r="E90" s="2" t="n">
        <v>2022</v>
      </c>
      <c r="F90" s="3" t="inlineStr">
        <is>
          <t>International Journal of Environmental Science and Technology</t>
        </is>
      </c>
      <c r="G90" s="2" t="inlineStr">
        <is>
          <t>Iran</t>
        </is>
      </c>
      <c r="H90" s="2" t="n">
        <v>2</v>
      </c>
      <c r="I90" s="2" t="inlineStr">
        <is>
          <t>10.1007/s13762-022-04395-2</t>
        </is>
      </c>
      <c r="J90" s="2" t="inlineStr">
        <is>
          <t>W4288695370</t>
        </is>
      </c>
      <c r="K90" s="2" t="inlineStr">
        <is>
          <t>doi</t>
        </is>
      </c>
    </row>
    <row r="91">
      <c r="A91" s="2" t="n">
        <v>90</v>
      </c>
      <c r="B91" s="2" t="inlineStr">
        <is>
          <t>Schultz2021</t>
        </is>
      </c>
      <c r="C91" s="3" t="inlineStr">
        <is>
          <t>Can deep learning beat numerical weather prediction?</t>
        </is>
      </c>
      <c r="D91" s="3" t="inlineStr">
        <is>
          <t>Schultz, M.G., M.schultz@fz-Juelich.de and Betancourt, C. and Gong, B. and Kleinert, F. and Langguth, M. and Leufen, L.H. and Mozaffari, A. and Stadtler, S.</t>
        </is>
      </c>
      <c r="E91" s="2" t="n">
        <v>2021</v>
      </c>
      <c r="F91" s="3" t="inlineStr">
        <is>
          <t>Philosophical Transactions of the Royal Society A Mathematical Physical and Engineering Sciences</t>
        </is>
      </c>
      <c r="G91" s="2" t="inlineStr">
        <is>
          <t>Germany</t>
        </is>
      </c>
      <c r="H91" s="2" t="n">
        <v>546</v>
      </c>
      <c r="I91" s="2" t="inlineStr">
        <is>
          <t>10.1098/rsta.2020.0097</t>
        </is>
      </c>
      <c r="J91" s="2" t="inlineStr">
        <is>
          <t>W3132280960</t>
        </is>
      </c>
      <c r="K91" s="2" t="inlineStr">
        <is>
          <t>doi</t>
        </is>
      </c>
    </row>
    <row r="92">
      <c r="A92" s="2" t="n">
        <v>91</v>
      </c>
      <c r="B92" s="2" t="inlineStr">
        <is>
          <t>Reichstein2019195</t>
        </is>
      </c>
      <c r="C92" s="3" t="inlineStr">
        <is>
          <t>Deep learning and process understanding for data-driven Earth system science</t>
        </is>
      </c>
      <c r="D92" s="3" t="inlineStr">
        <is>
          <t>Reichstein, M. and Camps-Valls, G. and Stevens, B. and Jung, M. and Denzler, J. and Carvalhais, N. and Prabhat</t>
        </is>
      </c>
      <c r="E92" s="2" t="n">
        <v>2019</v>
      </c>
      <c r="F92" s="3" t="inlineStr">
        <is>
          <t>Nature</t>
        </is>
      </c>
      <c r="G92" s="2" t="inlineStr">
        <is>
          <t>Germany</t>
        </is>
      </c>
      <c r="H92" s="2" t="n">
        <v>5133</v>
      </c>
      <c r="I92" s="2" t="inlineStr">
        <is>
          <t>10.1038/s41586-019-0912-1</t>
        </is>
      </c>
      <c r="J92" s="2" t="inlineStr">
        <is>
          <t>W2913323966</t>
        </is>
      </c>
      <c r="K92" s="2" t="inlineStr">
        <is>
          <t>doi</t>
        </is>
      </c>
    </row>
    <row r="93">
      <c r="A93" s="2" t="n">
        <v>92</v>
      </c>
      <c r="B93" s="2" t="inlineStr">
        <is>
          <t>Chen2023</t>
        </is>
      </c>
      <c r="C93" s="3" t="inlineStr">
        <is>
          <t>Improving the heavy rainfall forecasting using a weighted deep learning model</t>
        </is>
      </c>
      <c r="D93" s="3" t="inlineStr">
        <is>
          <t>Chen, Y. and Huang, G. and Wang, Y. and Tao, W. and Tian, Q. and Yang, K. and Zheng, J. and He, H.</t>
        </is>
      </c>
      <c r="E93" s="2" t="n">
        <v>2023</v>
      </c>
      <c r="F93" s="3" t="inlineStr">
        <is>
          <t>Frontiers in Environmental Science</t>
        </is>
      </c>
      <c r="G93" s="2" t="inlineStr">
        <is>
          <t>China</t>
        </is>
      </c>
      <c r="H93" s="2" t="n">
        <v>27</v>
      </c>
      <c r="I93" s="2" t="inlineStr">
        <is>
          <t>10.3389/fenvs.2023.1116672</t>
        </is>
      </c>
      <c r="J93" s="2" t="inlineStr">
        <is>
          <t>W4319597769</t>
        </is>
      </c>
      <c r="K93" s="2" t="inlineStr">
        <is>
          <t>doi</t>
        </is>
      </c>
    </row>
    <row r="94">
      <c r="A94" s="2" t="n">
        <v>93</v>
      </c>
      <c r="B94" s="2" t="inlineStr">
        <is>
          <t>Rojas-Campos2023487</t>
        </is>
      </c>
      <c r="C94" s="3" t="inlineStr">
        <is>
          <t>Postprocessing of NWP Precipitation Forecasts Using Deep Learning</t>
        </is>
      </c>
      <c r="D94" s="3" t="inlineStr">
        <is>
          <t>Rojas-Campos, A. and Wittenbrink, M. and Nieters, P. and Schaffernicht, E.J. and Keller, J.D. and Pipa, G.</t>
        </is>
      </c>
      <c r="E94" s="2" t="n">
        <v>2023</v>
      </c>
      <c r="F94" s="3" t="inlineStr">
        <is>
          <t>Weather and Forecasting</t>
        </is>
      </c>
      <c r="G94" s="2" t="inlineStr">
        <is>
          <t>Germany</t>
        </is>
      </c>
      <c r="H94" s="2" t="n">
        <v>23</v>
      </c>
      <c r="I94" s="2" t="inlineStr">
        <is>
          <t>10.1175/waf-d-21-0207.1</t>
        </is>
      </c>
      <c r="J94" s="2" t="inlineStr">
        <is>
          <t>W4319079426</t>
        </is>
      </c>
      <c r="K94" s="2" t="inlineStr">
        <is>
          <t>doi</t>
        </is>
      </c>
    </row>
    <row r="95">
      <c r="A95" s="2" t="n">
        <v>94</v>
      </c>
      <c r="B95" s="2" t="inlineStr">
        <is>
          <t>Ebert-Uphoff2023473</t>
        </is>
      </c>
      <c r="C95" s="3" t="inlineStr">
        <is>
          <t>The outlook for AI weather prediction</t>
        </is>
      </c>
      <c r="D95" s="3" t="inlineStr">
        <is>
          <t>Ebert-Uphoff, I. and Hilburn, K.</t>
        </is>
      </c>
      <c r="E95" s="2" t="n">
        <v>2023</v>
      </c>
      <c r="F95" s="3" t="inlineStr">
        <is>
          <t>Nature</t>
        </is>
      </c>
      <c r="G95" s="2" t="inlineStr">
        <is>
          <t>United States</t>
        </is>
      </c>
      <c r="H95" s="2" t="n">
        <v>41</v>
      </c>
      <c r="I95" s="2" t="inlineStr">
        <is>
          <t>10.1038/d41586-023-02084-9</t>
        </is>
      </c>
      <c r="J95" s="2" t="inlineStr">
        <is>
          <t>W4383222870</t>
        </is>
      </c>
      <c r="K95" s="2" t="inlineStr">
        <is>
          <t>doi</t>
        </is>
      </c>
    </row>
    <row r="96">
      <c r="A96" s="2" t="n">
        <v>95</v>
      </c>
      <c r="B96" s="2" t="inlineStr">
        <is>
          <t>Bi2023AccurateNetworks</t>
        </is>
      </c>
      <c r="C96" s="3" t="inlineStr">
        <is>
          <t>Accurate medium-range global weather forecasting with 3D neural networks</t>
        </is>
      </c>
      <c r="D96" s="3" t="inlineStr">
        <is>
          <t>Bi, Kaifeng and Xie, Lingxi and Zhang, Hengheng and Chen, Xin and Gu, Xiaotao and Tian, Qi</t>
        </is>
      </c>
      <c r="E96" s="2" t="n">
        <v>2023</v>
      </c>
      <c r="F96" s="3" t="inlineStr">
        <is>
          <t>Nature</t>
        </is>
      </c>
      <c r="G96" s="2" t="inlineStr">
        <is>
          <t>China</t>
        </is>
      </c>
      <c r="H96" s="2" t="n">
        <v>1446</v>
      </c>
      <c r="I96" s="2" t="inlineStr">
        <is>
          <t>10.1038/s41586-023-06185-3</t>
        </is>
      </c>
      <c r="J96" s="2" t="inlineStr">
        <is>
          <t>W4383218913</t>
        </is>
      </c>
      <c r="K96" s="2" t="inlineStr">
        <is>
          <t>doi</t>
        </is>
      </c>
    </row>
    <row r="97">
      <c r="A97" s="2" t="n">
        <v>96</v>
      </c>
      <c r="B97" s="2" t="inlineStr">
        <is>
          <t>Zhang2023SkilfulNowcastNet</t>
        </is>
      </c>
      <c r="C97" s="3" t="inlineStr">
        <is>
          <t>Skilful nowcasting of extreme precipitation with NowcastNet</t>
        </is>
      </c>
      <c r="D97" s="3" t="inlineStr">
        <is>
          <t>Zhang, Yuchen and Long, Mingsheng and Chen, Kaiyuan and Xing, Lanxiang and Jin, Ronghua and Jordan, Michael I. and Wang, Jianmin</t>
        </is>
      </c>
      <c r="E97" s="2" t="n">
        <v>2023</v>
      </c>
      <c r="F97" s="3" t="inlineStr">
        <is>
          <t>Nature</t>
        </is>
      </c>
      <c r="G97" s="2" t="inlineStr">
        <is>
          <t>China</t>
        </is>
      </c>
      <c r="H97" s="2" t="n">
        <v>403</v>
      </c>
      <c r="I97" s="2" t="inlineStr">
        <is>
          <t>10.1038/s41586-023-06184-4</t>
        </is>
      </c>
      <c r="J97" s="2" t="inlineStr">
        <is>
          <t>W4383197616</t>
        </is>
      </c>
      <c r="K97" s="2" t="inlineStr">
        <is>
          <t>doi</t>
        </is>
      </c>
    </row>
    <row r="98">
      <c r="A98" s="2" t="n">
        <v>97</v>
      </c>
      <c r="B98" s="2" t="inlineStr">
        <is>
          <t>Chen2022</t>
        </is>
      </c>
      <c r="C98" s="3" t="inlineStr">
        <is>
          <t>A short-term flood prediction based on spatial deep learning network: A case study for Xi County, China</t>
        </is>
      </c>
      <c r="D98" s="3" t="inlineStr">
        <is>
          <t>Chen, C. and Jiang, J. and Liao, Z. and Zhou, Y. and Wang, H. and Pei, Q.</t>
        </is>
      </c>
      <c r="E98" s="2" t="n">
        <v>2022</v>
      </c>
      <c r="F98" s="3" t="inlineStr">
        <is>
          <t>Journal of Hydrology</t>
        </is>
      </c>
      <c r="G98" s="2" t="inlineStr">
        <is>
          <t>China</t>
        </is>
      </c>
      <c r="H98" s="2" t="n">
        <v>120</v>
      </c>
      <c r="I98" s="2" t="inlineStr">
        <is>
          <t>10.1016/j.jhydrol.2022.127535</t>
        </is>
      </c>
      <c r="J98" s="2" t="inlineStr">
        <is>
          <t>W4210516877</t>
        </is>
      </c>
      <c r="K98" s="2" t="inlineStr">
        <is>
          <t>doi</t>
        </is>
      </c>
    </row>
    <row r="99">
      <c r="A99" s="2" t="n">
        <v>98</v>
      </c>
      <c r="B99" s="2" t="inlineStr">
        <is>
          <t>Rojas-Campos20231467</t>
        </is>
      </c>
      <c r="C99" s="3" t="inlineStr">
        <is>
          <t>Deep learning models for generation of precipitation maps based on numerical weather prediction</t>
        </is>
      </c>
      <c r="D99" s="3" t="inlineStr">
        <is>
          <t>Rojas-Campos, A. and Langguth, M. and Wittenbrink, M. and Pipa, G.</t>
        </is>
      </c>
      <c r="E99" s="2" t="n">
        <v>2023</v>
      </c>
      <c r="F99" s="3" t="inlineStr">
        <is>
          <t>Geoscientific model development</t>
        </is>
      </c>
      <c r="G99" s="2" t="inlineStr">
        <is>
          <t>Germany</t>
        </is>
      </c>
      <c r="H99" s="2" t="n">
        <v>17</v>
      </c>
      <c r="I99" s="2" t="inlineStr">
        <is>
          <t>10.5194/gmd-16-1467-2023</t>
        </is>
      </c>
      <c r="J99" s="2" t="inlineStr">
        <is>
          <t>W4323556541</t>
        </is>
      </c>
      <c r="K99" s="2" t="inlineStr">
        <is>
          <t>doi</t>
        </is>
      </c>
    </row>
    <row r="100">
      <c r="A100" s="2" t="n">
        <v>99</v>
      </c>
      <c r="B100" s="2" t="inlineStr">
        <is>
          <t>Dong2023</t>
        </is>
      </c>
      <c r="C100" s="3" t="inlineStr">
        <is>
          <t>A hybrid data assimilation system based on machine learning</t>
        </is>
      </c>
      <c r="D100" s="3" t="inlineStr">
        <is>
          <t>Dong, R. and Leng, H. and Zhao, C. and Song, J. and Zhao, J. and Cao, X.</t>
        </is>
      </c>
      <c r="E100" s="2" t="n">
        <v>2023</v>
      </c>
      <c r="F100" s="3" t="inlineStr">
        <is>
          <t>Frontiers in Earth Science</t>
        </is>
      </c>
      <c r="G100" s="2" t="inlineStr">
        <is>
          <t>China</t>
        </is>
      </c>
      <c r="H100" s="2" t="n">
        <v>10</v>
      </c>
      <c r="I100" s="2" t="inlineStr">
        <is>
          <t>10.3389/feart.2022.1012165</t>
        </is>
      </c>
      <c r="J100" s="2" t="inlineStr">
        <is>
          <t>W4313559365</t>
        </is>
      </c>
      <c r="K100" s="2" t="inlineStr">
        <is>
          <t>doi</t>
        </is>
      </c>
    </row>
    <row r="101">
      <c r="A101" s="2" t="n">
        <v>100</v>
      </c>
      <c r="B101" s="2" t="inlineStr">
        <is>
          <t>Li2023ModelingLearning</t>
        </is>
      </c>
      <c r="C101" s="3" t="inlineStr">
        <is>
          <t>Modeling of Precipitation Prediction Based on Causal Analysis and Machine Learning</t>
        </is>
      </c>
      <c r="D101" s="3" t="inlineStr">
        <is>
          <t>Li, Hongchen and Li, Ming</t>
        </is>
      </c>
      <c r="E101" s="2" t="n">
        <v>2023</v>
      </c>
      <c r="F101" s="3" t="inlineStr">
        <is>
          <t>Atmosphere</t>
        </is>
      </c>
      <c r="G101" s="2" t="inlineStr">
        <is>
          <t>China</t>
        </is>
      </c>
      <c r="H101" s="2" t="n">
        <v>3</v>
      </c>
      <c r="I101" s="2" t="inlineStr">
        <is>
          <t>10.3390/atmos14091396</t>
        </is>
      </c>
      <c r="J101" s="2" t="inlineStr">
        <is>
          <t>W4386423282</t>
        </is>
      </c>
      <c r="K101" s="2" t="inlineStr">
        <is>
          <t>doi</t>
        </is>
      </c>
    </row>
    <row r="102">
      <c r="A102" s="2" t="n">
        <v>101</v>
      </c>
      <c r="B102" s="2" t="inlineStr">
        <is>
          <t>Kong2023</t>
        </is>
      </c>
      <c r="C102" s="3" t="inlineStr">
        <is>
          <t>Precipitation Nowcasting Based on Deep Learning over Guizhou, China</t>
        </is>
      </c>
      <c r="D102" s="3" t="inlineStr">
        <is>
          <t>Kong, D. and Zhi, X. and Ji, Y. and Yang, C. and Wang, Y. and Tian, Y. and Li, G. and Zeng, X.</t>
        </is>
      </c>
      <c r="E102" s="2" t="n">
        <v>2023</v>
      </c>
      <c r="F102" s="3" t="inlineStr">
        <is>
          <t>Atmosphere</t>
        </is>
      </c>
      <c r="G102" s="2" t="inlineStr">
        <is>
          <t>China</t>
        </is>
      </c>
      <c r="H102" s="2" t="n">
        <v>14</v>
      </c>
      <c r="I102" s="2" t="inlineStr">
        <is>
          <t>10.3390/atmos14050807</t>
        </is>
      </c>
      <c r="J102" s="2" t="inlineStr">
        <is>
          <t>W4367314848</t>
        </is>
      </c>
      <c r="K102" s="2" t="inlineStr">
        <is>
          <t>doi</t>
        </is>
      </c>
    </row>
    <row r="103">
      <c r="A103" s="2" t="n">
        <v>102</v>
      </c>
      <c r="B103" s="2" t="inlineStr">
        <is>
          <t>He20231583</t>
        </is>
      </c>
      <c r="C103" s="3" t="inlineStr">
        <is>
          <t>Improving regional climate simulations based on a hybrid data assimilation and machine learning method</t>
        </is>
      </c>
      <c r="D103" s="3" t="inlineStr">
        <is>
          <t>He, X. and Li, Y. and Liu, S. and Xu, T. and Chen, F. and Li, Z. and Zhang, Z. and Liu, R. and Song, L. and Xu, Z. and Peng, Z. and Zheng, C.</t>
        </is>
      </c>
      <c r="E103" s="2" t="n">
        <v>2023</v>
      </c>
      <c r="F103" s="3" t="inlineStr">
        <is>
          <t>Hydrology and earth system sciences</t>
        </is>
      </c>
      <c r="G103" s="2" t="inlineStr">
        <is>
          <t>China</t>
        </is>
      </c>
      <c r="H103" s="2" t="n">
        <v>26</v>
      </c>
      <c r="I103" s="2" t="inlineStr">
        <is>
          <t>10.5194/hess-27-1583-2023</t>
        </is>
      </c>
      <c r="J103" s="2" t="inlineStr">
        <is>
          <t>W4366209655</t>
        </is>
      </c>
      <c r="K103" s="2" t="inlineStr">
        <is>
          <t>doi</t>
        </is>
      </c>
    </row>
    <row r="104">
      <c r="A104" s="2" t="n">
        <v>103</v>
      </c>
      <c r="B104" s="2" t="inlineStr">
        <is>
          <t>Waqas2023</t>
        </is>
      </c>
      <c r="C104" s="3" t="inlineStr">
        <is>
          <t>Potential of Artificial Intelligence-Based Techniques for Rainfall Forecasting in Thailand: A Comprehensive Review</t>
        </is>
      </c>
      <c r="D104" s="3" t="inlineStr">
        <is>
          <t>Waqas, M. and Humphries, U.W. and Wangwongchai, A. and Dechpichai, P. and Ahmad, S.</t>
        </is>
      </c>
      <c r="E104" s="2" t="n">
        <v>2023</v>
      </c>
      <c r="F104" s="3" t="inlineStr">
        <is>
          <t>Water</t>
        </is>
      </c>
      <c r="G104" s="2" t="inlineStr">
        <is>
          <t>Thailand</t>
        </is>
      </c>
      <c r="H104" s="2" t="n">
        <v>88</v>
      </c>
      <c r="I104" s="2" t="inlineStr">
        <is>
          <t>10.3390/w15162979</t>
        </is>
      </c>
      <c r="J104" s="2" t="inlineStr">
        <is>
          <t>W4385985206</t>
        </is>
      </c>
      <c r="K104" s="2" t="inlineStr">
        <is>
          <t>doi</t>
        </is>
      </c>
    </row>
    <row r="105">
      <c r="A105" s="2" t="n">
        <v>104</v>
      </c>
      <c r="B105" s="2" t="inlineStr">
        <is>
          <t>Zhu2023</t>
        </is>
      </c>
      <c r="C105" s="3" t="inlineStr">
        <is>
          <t>Spatiotemporal deep learning rainfall-runoff forecasting combined with remote sensing precipitation products in large scale basins</t>
        </is>
      </c>
      <c r="D105" s="3" t="inlineStr">
        <is>
          <t>Zhu, S. and Wei, J. and Zhang, H. and Xu, Y. and Qin, H.</t>
        </is>
      </c>
      <c r="E105" s="2" t="n">
        <v>2022</v>
      </c>
      <c r="F105" s="3" t="inlineStr">
        <is>
          <t>Journal of Hydrology</t>
        </is>
      </c>
      <c r="G105" s="2" t="inlineStr">
        <is>
          <t>China</t>
        </is>
      </c>
      <c r="H105" s="2" t="n">
        <v>64</v>
      </c>
      <c r="I105" s="2" t="inlineStr">
        <is>
          <t>10.1016/j.jhydrol.2022.128727</t>
        </is>
      </c>
      <c r="J105" s="2" t="inlineStr">
        <is>
          <t>W4308516358</t>
        </is>
      </c>
      <c r="K105" s="2" t="inlineStr">
        <is>
          <t>doi</t>
        </is>
      </c>
    </row>
    <row r="106">
      <c r="A106" s="2" t="n">
        <v>105</v>
      </c>
      <c r="B106" s="2" t="inlineStr">
        <is>
          <t>Tounsi2023</t>
        </is>
      </c>
      <c r="C106" s="3" t="inlineStr">
        <is>
          <t>Assessment of deterministic and probabilistic precipitation nowcasting techniques over New York metropolitan area</t>
        </is>
      </c>
      <c r="D106" s="3" t="inlineStr">
        <is>
          <t>Tounsi, A. and Temimi, M. and Abdelkader, M. and Gourley, J.J.</t>
        </is>
      </c>
      <c r="E106" s="2" t="n">
        <v>2023</v>
      </c>
      <c r="F106" s="3" t="inlineStr">
        <is>
          <t>Environmental Modelling &amp; Software</t>
        </is>
      </c>
      <c r="G106" s="2" t="inlineStr">
        <is>
          <t>United States</t>
        </is>
      </c>
      <c r="H106" s="2" t="n">
        <v>5</v>
      </c>
      <c r="I106" s="2" t="inlineStr">
        <is>
          <t>10.1016/j.envsoft.2023.105803</t>
        </is>
      </c>
      <c r="J106" s="2" t="inlineStr">
        <is>
          <t>W4386003781</t>
        </is>
      </c>
      <c r="K106" s="2" t="inlineStr">
        <is>
          <t>doi</t>
        </is>
      </c>
    </row>
    <row r="107">
      <c r="A107" s="2" t="n">
        <v>106</v>
      </c>
      <c r="B107" s="2" t="inlineStr">
        <is>
          <t>Pulkkinen2021LagrangianNowcasting</t>
        </is>
      </c>
      <c r="C107" s="3" t="inlineStr">
        <is>
          <t>Lagrangian Integro-Difference Equation Model for Precipitation Nowcasting</t>
        </is>
      </c>
      <c r="D107" s="3" t="inlineStr">
        <is>
          <t>Pulkkinen, Seppo and Chandrasekar, V. and Niemi, Tero</t>
        </is>
      </c>
      <c r="E107" s="2" t="n">
        <v>2021</v>
      </c>
      <c r="F107" s="3" t="inlineStr">
        <is>
          <t>Journal of Atmospheric and Oceanic Technology</t>
        </is>
      </c>
      <c r="G107" s="2" t="inlineStr">
        <is>
          <t>Finland</t>
        </is>
      </c>
      <c r="H107" s="2" t="n">
        <v>25</v>
      </c>
      <c r="I107" s="2" t="inlineStr">
        <is>
          <t>10.1175/jtech-d-21-0013.1</t>
        </is>
      </c>
      <c r="J107" s="2" t="inlineStr">
        <is>
          <t>W3208548582</t>
        </is>
      </c>
      <c r="K107" s="2" t="inlineStr">
        <is>
          <t>doi</t>
        </is>
      </c>
    </row>
    <row r="108">
      <c r="A108" s="2" t="n">
        <v>107</v>
      </c>
      <c r="B108" s="2" t="inlineStr">
        <is>
          <t>Han2022</t>
        </is>
      </c>
      <c r="C108" s="3" t="inlineStr">
        <is>
          <t>Toward the Predictability of a Radar-Based Nowcasting System for Different Precipitation Systems</t>
        </is>
      </c>
      <c r="D108" s="3" t="inlineStr">
        <is>
          <t>Han, L. and Zhang, J. and Chen, H. and Zhang, W. and Yao, S.</t>
        </is>
      </c>
      <c r="E108" s="2" t="n">
        <v>2022</v>
      </c>
      <c r="F108" s="3" t="inlineStr">
        <is>
          <t>IEEE Geoscience and Remote Sensing Letters</t>
        </is>
      </c>
      <c r="G108" s="2" t="inlineStr">
        <is>
          <t>China</t>
        </is>
      </c>
      <c r="H108" s="2" t="n">
        <v>22</v>
      </c>
      <c r="I108" s="2" t="inlineStr">
        <is>
          <t>10.1109/lgrs.2022.3185031</t>
        </is>
      </c>
      <c r="J108" s="2" t="inlineStr">
        <is>
          <t>W4285300879</t>
        </is>
      </c>
      <c r="K108" s="2" t="inlineStr">
        <is>
          <t>doi</t>
        </is>
      </c>
    </row>
    <row r="109">
      <c r="A109" s="2" t="n">
        <v>108</v>
      </c>
      <c r="B109" s="2" t="inlineStr">
        <is>
          <t>Cui2023</t>
        </is>
      </c>
      <c r="C109" s="3" t="inlineStr">
        <is>
          <t>Exploration of dual-attention mechanism-based deep learning for multi-step-ahead flood probabilistic forecasting</t>
        </is>
      </c>
      <c r="D109" s="3" t="inlineStr">
        <is>
          <t>Cui, Z. and Guo, S. and Zhou, Y. and Wang, J.</t>
        </is>
      </c>
      <c r="E109" s="2" t="n">
        <v>2023</v>
      </c>
      <c r="F109" s="3" t="inlineStr">
        <is>
          <t>Journal of Hydrology</t>
        </is>
      </c>
      <c r="G109" s="2" t="inlineStr">
        <is>
          <t>China</t>
        </is>
      </c>
      <c r="H109" s="2" t="n">
        <v>40</v>
      </c>
      <c r="I109" s="2" t="inlineStr">
        <is>
          <t>10.1016/j.jhydrol.2023.129688</t>
        </is>
      </c>
      <c r="J109" s="2" t="inlineStr">
        <is>
          <t>W4377100939</t>
        </is>
      </c>
      <c r="K109" s="2" t="inlineStr">
        <is>
          <t>doi</t>
        </is>
      </c>
    </row>
    <row r="110">
      <c r="A110" s="2" t="n">
        <v>109</v>
      </c>
      <c r="B110" s="2" t="inlineStr">
        <is>
          <t>Zhang2023</t>
        </is>
      </c>
      <c r="C110" s="3" t="inlineStr">
        <is>
          <t>Reconstructing and Nowcasting the Rainfall Field by a CML Network</t>
        </is>
      </c>
      <c r="D110" s="3" t="inlineStr">
        <is>
          <t>Zhang, P. and Liu, X. and Zou, M.</t>
        </is>
      </c>
      <c r="E110" s="2" t="n">
        <v>2023</v>
      </c>
      <c r="F110" s="3" t="inlineStr">
        <is>
          <t>Earth and Space Science</t>
        </is>
      </c>
      <c r="G110" s="2" t="inlineStr">
        <is>
          <t>China</t>
        </is>
      </c>
      <c r="H110" s="2" t="n">
        <v>3</v>
      </c>
      <c r="I110" s="2" t="inlineStr">
        <is>
          <t>10.1029/2023ea002909</t>
        </is>
      </c>
      <c r="J110" s="2" t="inlineStr">
        <is>
          <t>W4386533256</t>
        </is>
      </c>
      <c r="K110" s="2" t="inlineStr">
        <is>
          <t>doi</t>
        </is>
      </c>
    </row>
    <row r="111">
      <c r="A111" s="2" t="n">
        <v>110</v>
      </c>
      <c r="B111" s="2" t="inlineStr">
        <is>
          <t>Hou20212335</t>
        </is>
      </c>
      <c r="C111" s="3" t="inlineStr">
        <is>
          <t>Rapid forecasting of urban flood inundation using multiple machine learning models</t>
        </is>
      </c>
      <c r="D111" s="3" t="inlineStr">
        <is>
          <t>Hou, J. and Zhou, N. and Chen, G. and Huang, M. and Bai, G.</t>
        </is>
      </c>
      <c r="E111" s="2" t="n">
        <v>2021</v>
      </c>
      <c r="F111" s="3" t="inlineStr">
        <is>
          <t>Natural Hazards</t>
        </is>
      </c>
      <c r="G111" s="2" t="inlineStr">
        <is>
          <t>China</t>
        </is>
      </c>
      <c r="H111" s="2" t="n">
        <v>114</v>
      </c>
      <c r="I111" s="2" t="inlineStr">
        <is>
          <t>10.1007/s11069-021-04782-x</t>
        </is>
      </c>
      <c r="J111" s="2" t="inlineStr">
        <is>
          <t>W3162683200</t>
        </is>
      </c>
      <c r="K111" s="2" t="inlineStr">
        <is>
          <t>doi</t>
        </is>
      </c>
    </row>
    <row r="112">
      <c r="A112" s="2" t="n">
        <v>111</v>
      </c>
      <c r="B112" s="2" t="inlineStr">
        <is>
          <t>Tang2023</t>
        </is>
      </c>
      <c r="C112" s="3" t="inlineStr">
        <is>
          <t>flood forecasting based on machine learning pattern recognition and dynamic migration of parameters</t>
        </is>
      </c>
      <c r="D112" s="3" t="inlineStr">
        <is>
          <t>Tang, Y. and Sun, Y. and Han, Z. and Soomro, S.-E.-E. and Wu, Q. and Tan, B. and Hu, C.</t>
        </is>
      </c>
      <c r="E112" s="2" t="n">
        <v>2023</v>
      </c>
      <c r="F112" s="3" t="inlineStr">
        <is>
          <t>Journal of Hydrology Regional Studies</t>
        </is>
      </c>
      <c r="G112" s="2" t="inlineStr">
        <is>
          <t>China</t>
        </is>
      </c>
      <c r="H112" s="2" t="n">
        <v>69</v>
      </c>
      <c r="I112" s="2" t="inlineStr">
        <is>
          <t>10.1016/j.ejrh.2023.101406</t>
        </is>
      </c>
      <c r="J112" s="2" t="inlineStr">
        <is>
          <t>W4372204164</t>
        </is>
      </c>
      <c r="K112" s="2" t="inlineStr">
        <is>
          <t>doi</t>
        </is>
      </c>
    </row>
    <row r="113">
      <c r="A113" s="2" t="n">
        <v>112</v>
      </c>
      <c r="B113" s="2" t="inlineStr">
        <is>
          <t>Yadav20208</t>
        </is>
      </c>
      <c r="C113" s="3" t="inlineStr">
        <is>
          <t>A Deep Learning Approach to Short-Term Quantitative Precipitation Forecasting</t>
        </is>
      </c>
      <c r="D113" s="3" t="inlineStr">
        <is>
          <t>Yadav, N. and Ganguly, A.R.</t>
        </is>
      </c>
      <c r="E113" s="2" t="n">
        <v>2020</v>
      </c>
      <c r="F113" s="3" t="inlineStr">
        <is>
          <t>ACM International Conference Proceeding Series</t>
        </is>
      </c>
      <c r="G113" s="2" t="inlineStr">
        <is>
          <t>United States</t>
        </is>
      </c>
      <c r="H113" s="2" t="n">
        <v>10</v>
      </c>
      <c r="I113" s="2" t="inlineStr">
        <is>
          <t>10.1145/3429309.3429311</t>
        </is>
      </c>
      <c r="J113" s="2" t="inlineStr">
        <is>
          <t>W3119443398</t>
        </is>
      </c>
      <c r="K113" s="2" t="inlineStr">
        <is>
          <t>doi</t>
        </is>
      </c>
    </row>
    <row r="114">
      <c r="A114" s="2" t="n">
        <v>113</v>
      </c>
      <c r="B114" s="2" t="inlineStr">
        <is>
          <t>Pathak2022FourCastNet</t>
        </is>
      </c>
      <c r="C114" s="3" t="inlineStr">
        <is>
          <t>FourCastNet: A Global Data-driven High-resolution Weather Model using Adaptive Fourier Neural Operators</t>
        </is>
      </c>
      <c r="D114" s="3" t="inlineStr">
        <is>
          <t>Pathak, Jaideep and Subramanian, Sanjeev and Harrington, Peter and Raja, Sanjeev and Chattopadhyay, Ashesh and Mardani, Morteza</t>
        </is>
      </c>
      <c r="E114" s="2" t="n">
        <v>2022</v>
      </c>
      <c r="F114" s="3" t="inlineStr">
        <is>
          <t>arXiv (Cornell University)</t>
        </is>
      </c>
      <c r="G114" s="2" t="inlineStr"/>
      <c r="H114" s="2" t="n">
        <v>449</v>
      </c>
      <c r="I114" s="2" t="inlineStr">
        <is>
          <t>10.48550/arxiv.2202.11214</t>
        </is>
      </c>
      <c r="J114" s="2" t="inlineStr">
        <is>
          <t>W4225906496</t>
        </is>
      </c>
      <c r="K114" s="2" t="inlineStr">
        <is>
          <t>doi</t>
        </is>
      </c>
    </row>
    <row r="115">
      <c r="A115" s="2" t="n">
        <v>114</v>
      </c>
      <c r="B115" s="2" t="inlineStr">
        <is>
          <t>Bi2023Pangu</t>
        </is>
      </c>
      <c r="C115" s="3" t="inlineStr">
        <is>
          <t>Accurate medium-range global weather forecasting with 3D neural networks</t>
        </is>
      </c>
      <c r="D115" s="3" t="inlineStr">
        <is>
          <t>Bi, Kaifeng and Xie, Lei and Zhang, Heng and Chen, Xiaodong and Gu, Xiaoyong</t>
        </is>
      </c>
      <c r="E115" s="2" t="n">
        <v>2023</v>
      </c>
      <c r="F115" s="3" t="inlineStr">
        <is>
          <t>Nature</t>
        </is>
      </c>
      <c r="G115" s="2" t="inlineStr">
        <is>
          <t>China</t>
        </is>
      </c>
      <c r="H115" s="2" t="n">
        <v>1446</v>
      </c>
      <c r="I115" s="2" t="inlineStr">
        <is>
          <t>10.1038/s41586-023-06185-3</t>
        </is>
      </c>
      <c r="J115" s="2" t="inlineStr">
        <is>
          <t>W4383218913</t>
        </is>
      </c>
      <c r="K115" s="2" t="inlineStr">
        <is>
          <t>doi</t>
        </is>
      </c>
    </row>
    <row r="116">
      <c r="A116" s="2" t="n">
        <v>115</v>
      </c>
      <c r="B116" s="2" t="inlineStr">
        <is>
          <t>Lam2023GraphCast</t>
        </is>
      </c>
      <c r="C116" s="3" t="inlineStr">
        <is>
          <t>Learning skillful medium-range global weather forecasting</t>
        </is>
      </c>
      <c r="D116" s="3" t="inlineStr">
        <is>
          <t>Lam, Remi and Sanchez-Gonzalez, Alvaro and Willson, Matthew and Wirnsberger, Peter and Fortunato, Meire and Alet, Ferran and Ravuri, Suman and Ewalds, Timo and Eaton-Rosen, Zach and Hu, Weiyao</t>
        </is>
      </c>
      <c r="E116" s="2" t="n">
        <v>2023</v>
      </c>
      <c r="F116" s="3" t="inlineStr">
        <is>
          <t>Science</t>
        </is>
      </c>
      <c r="G116" s="2" t="inlineStr">
        <is>
          <t>United Kingdom</t>
        </is>
      </c>
      <c r="H116" s="2" t="n">
        <v>1188</v>
      </c>
      <c r="I116" s="2" t="inlineStr">
        <is>
          <t>10.1126/science.adi2336</t>
        </is>
      </c>
      <c r="J116" s="2" t="inlineStr">
        <is>
          <t>W4388654737</t>
        </is>
      </c>
      <c r="K116" s="2" t="inlineStr">
        <is>
          <t>doi</t>
        </is>
      </c>
    </row>
    <row r="117">
      <c r="A117" s="2" t="n">
        <v>116</v>
      </c>
      <c r="B117" s="2" t="inlineStr">
        <is>
          <t>Chen2023FuXi</t>
        </is>
      </c>
      <c r="C117" s="3" t="inlineStr">
        <is>
          <t>FuXi: a cascade machine learning forecasting system for 15-day global weather forecast</t>
        </is>
      </c>
      <c r="D117" s="3" t="inlineStr">
        <is>
          <t>Lei Chen and Xiaohui Zhong and Feng Zhang and Yuan Cheng and Yinghui Xu and Yuan Qi and Hao Li</t>
        </is>
      </c>
      <c r="E117" s="2" t="n">
        <v>2023</v>
      </c>
      <c r="F117" s="3" t="inlineStr">
        <is>
          <t>npj Climate and Atmospheric Science</t>
        </is>
      </c>
      <c r="G117" s="2" t="inlineStr">
        <is>
          <t>China</t>
        </is>
      </c>
      <c r="H117" s="2" t="n">
        <v>291</v>
      </c>
      <c r="I117" s="2" t="inlineStr">
        <is>
          <t>10.1038/s41612-023-00512-1</t>
        </is>
      </c>
      <c r="J117" s="2" t="inlineStr">
        <is>
          <t>W4388728292</t>
        </is>
      </c>
      <c r="K117" s="2" t="inlineStr">
        <is>
          <t>doi</t>
        </is>
      </c>
    </row>
    <row r="118">
      <c r="A118" s="2" t="n">
        <v>117</v>
      </c>
      <c r="B118" s="2" t="inlineStr">
        <is>
          <t>lang2024aifs</t>
        </is>
      </c>
      <c r="C118" s="3" t="inlineStr">
        <is>
          <t>AIFS -- ECMWF's data-driven forecasting system</t>
        </is>
      </c>
      <c r="D118" s="3" t="inlineStr">
        <is>
          <t>Lang, Simon and Alexe, Mihai and Chantry, Matthew and Dramsch, Jesper and Pinault, Florian and Raoult, Baudouin and Clare, Mariana C. A. and Lessig, Christian and Maier-Gerber, Michael and Magnusson, Linus and Bouall\`egue, Zied Ben and Quinting, Julian and Rabier, Florence and Richardson, David and Prudhomme, Cristina and Dopazo-Bueno, Carolina and Hahner, Tobias and Itterly, Kyle and Manzanas, Rodrigo and Pappenberger, Florian and Simmons, Adrian and Wedi, Nils</t>
        </is>
      </c>
      <c r="E118" s="2" t="n">
        <v>2024</v>
      </c>
      <c r="F118" s="3" t="inlineStr">
        <is>
          <t>arXiv (Cornell University)</t>
        </is>
      </c>
      <c r="G118" s="2" t="inlineStr"/>
      <c r="H118" s="2" t="n">
        <v>71</v>
      </c>
      <c r="I118" s="2" t="inlineStr">
        <is>
          <t>10.48550/arxiv.2406.01465</t>
        </is>
      </c>
      <c r="J118" s="2" t="inlineStr">
        <is>
          <t>W4399401448</t>
        </is>
      </c>
      <c r="K118" s="2" t="inlineStr">
        <is>
          <t>title</t>
        </is>
      </c>
    </row>
    <row r="119">
      <c r="A119" s="2" t="n">
        <v>118</v>
      </c>
      <c r="B119" s="2" t="inlineStr">
        <is>
          <t>Bodnar2025</t>
        </is>
      </c>
      <c r="C119" s="3" t="inlineStr">
        <is>
          <t>A foundation model for the Earth system</t>
        </is>
      </c>
      <c r="D119" s="3" t="inlineStr">
        <is>
          <t>Cristian Bodnar and Wessel P. Bruinsma and Ana Lucic and Megan Stanley and Anna Allen and Johannes Brandstetter and Patrick Garvan and Maik Riechert and Jonathan A. Weyn and Haiyu Dong and Jayesh K. Gupta and Kit Thambiratnam and Alexander T. Archibald and Chun-Chieh Wu and Elizabeth Heider and Max Welling and Richard E. Turner and Paris Perdikaris</t>
        </is>
      </c>
      <c r="E119" s="2" t="n">
        <v>2025</v>
      </c>
      <c r="F119" s="3" t="inlineStr">
        <is>
          <t>Nature</t>
        </is>
      </c>
      <c r="G119" s="2" t="inlineStr">
        <is>
          <t>Netherlands</t>
        </is>
      </c>
      <c r="H119" s="2" t="n">
        <v>142</v>
      </c>
      <c r="I119" s="2" t="inlineStr">
        <is>
          <t>10.1038/s41586-025-09005-y</t>
        </is>
      </c>
      <c r="J119" s="2" t="inlineStr">
        <is>
          <t>W4410551352</t>
        </is>
      </c>
      <c r="K119" s="2" t="inlineStr">
        <is>
          <t>doi</t>
        </is>
      </c>
    </row>
    <row r="120">
      <c r="A120" s="2" t="n">
        <v>119</v>
      </c>
      <c r="B120" s="2" t="inlineStr">
        <is>
          <t>Bodnar2024Aurora</t>
        </is>
      </c>
      <c r="C120" s="3" t="inlineStr">
        <is>
          <t>A foundation model for the Earth system</t>
        </is>
      </c>
      <c r="D120" s="3" t="inlineStr">
        <is>
          <t>Cristian Bodnar and Wessel P. Bruinsma and Ana Lucic and Megan Stanley and Anna Allen and Johannes Brandstetter and Patrick Garvan and Maik Riechert and Jonathan A. Weyn and Haiyu Dong and Jayesh K. Gupta and Kit Thambiratnam and Alexander T. Archibald and Chun-Chieh Wu and Elizabeth Heider and Max Welling and Richard E. Turner and Paris Perdikaris</t>
        </is>
      </c>
      <c r="E120" s="2" t="n">
        <v>2025</v>
      </c>
      <c r="F120" s="3" t="inlineStr">
        <is>
          <t>Nature</t>
        </is>
      </c>
      <c r="G120" s="2" t="inlineStr">
        <is>
          <t>Netherlands</t>
        </is>
      </c>
      <c r="H120" s="2" t="n">
        <v>142</v>
      </c>
      <c r="I120" s="2" t="inlineStr">
        <is>
          <t>10.1038/s41586-025-09005-y</t>
        </is>
      </c>
      <c r="J120" s="2" t="inlineStr">
        <is>
          <t>W4410551352</t>
        </is>
      </c>
      <c r="K120" s="2" t="inlineStr">
        <is>
          <t>doi</t>
        </is>
      </c>
    </row>
    <row r="121">
      <c r="A121" s="2" t="n">
        <v>120</v>
      </c>
      <c r="B121" s="2" t="inlineStr">
        <is>
          <t>Kashinath2021PIML</t>
        </is>
      </c>
      <c r="C121" s="3" t="inlineStr">
        <is>
          <t>Physics-informed machine learning: case studies for weather and climate modelling</t>
        </is>
      </c>
      <c r="D121" s="3" t="inlineStr">
        <is>
          <t>Kashinath, K. and Mustafa, M. and Albert, A. and Wu, J-L. and Jiang, C. and Esmaeilzadeh, S. and Azizzadenesheli, K. and Wang, R. and Chattopadhyay, A. and Singh, A. and Manepalli, A. and Chirila, D. and Yu, R. and Walters, R. and White, B. and Xiao, H. and Tchelepi, H. A. and Marcus, P. and Anandkumar, A. and Hassanzadeh, P. and Prabhat</t>
        </is>
      </c>
      <c r="E121" s="2" t="n">
        <v>2021</v>
      </c>
      <c r="F121" s="3" t="inlineStr">
        <is>
          <t>Philosophical Transactions of the Royal Society A Mathematical Physical and Engineering Sciences</t>
        </is>
      </c>
      <c r="G121" s="2" t="inlineStr">
        <is>
          <t>United States</t>
        </is>
      </c>
      <c r="H121" s="2" t="n">
        <v>647</v>
      </c>
      <c r="I121" s="2" t="inlineStr">
        <is>
          <t>10.1098/rsta.2020.0093</t>
        </is>
      </c>
      <c r="J121" s="2" t="inlineStr">
        <is>
          <t>W3133294546</t>
        </is>
      </c>
      <c r="K121" s="2" t="inlineStr">
        <is>
          <t>doi</t>
        </is>
      </c>
    </row>
    <row r="122">
      <c r="A122" s="2" t="n">
        <v>121</v>
      </c>
      <c r="B122" s="2" t="inlineStr">
        <is>
          <t>atmos15060689</t>
        </is>
      </c>
      <c r="C122" s="3" t="inlineStr">
        <is>
          <t>Data-Driven Weather Forecasting and Climate Modeling from the Perspective of Development</t>
        </is>
      </c>
      <c r="D122" s="3" t="inlineStr">
        <is>
          <t>Wu, Yuting and Xue, Wei</t>
        </is>
      </c>
      <c r="E122" s="2" t="n">
        <v>2024</v>
      </c>
      <c r="F122" s="3" t="inlineStr">
        <is>
          <t>Atmosphere</t>
        </is>
      </c>
      <c r="G122" s="2" t="inlineStr">
        <is>
          <t>China</t>
        </is>
      </c>
      <c r="H122" s="2" t="n">
        <v>38</v>
      </c>
      <c r="I122" s="2" t="inlineStr">
        <is>
          <t>10.3390/atmos15060689</t>
        </is>
      </c>
      <c r="J122" s="2" t="inlineStr">
        <is>
          <t>W4399387138</t>
        </is>
      </c>
      <c r="K122" s="2" t="inlineStr">
        <is>
          <t>doi</t>
        </is>
      </c>
    </row>
    <row r="123">
      <c r="A123" s="2" t="n">
        <v>122</v>
      </c>
      <c r="B123" s="2" t="inlineStr">
        <is>
          <t>Weyn2021Subseasonal</t>
        </is>
      </c>
      <c r="C123" s="3" t="inlineStr">
        <is>
          <t>Sub‐Seasonal Forecasting With a Large Ensemble of Deep‐Learning Weather Prediction Models</t>
        </is>
      </c>
      <c r="D123" s="3" t="inlineStr">
        <is>
          <t>Weyn, Jonathan A. and Durran, Dale R. and Caruana, Rich and Cresswell-Clay, Nathaniel</t>
        </is>
      </c>
      <c r="E123" s="2" t="n">
        <v>2021</v>
      </c>
      <c r="F123" s="3" t="inlineStr">
        <is>
          <t>Journal of Advances in Modeling Earth Systems</t>
        </is>
      </c>
      <c r="G123" s="2" t="inlineStr">
        <is>
          <t>United States</t>
        </is>
      </c>
      <c r="H123" s="2" t="n">
        <v>155</v>
      </c>
      <c r="I123" s="2" t="inlineStr">
        <is>
          <t>10.1029/2021ms002502</t>
        </is>
      </c>
      <c r="J123" s="2" t="inlineStr">
        <is>
          <t>W3128630349</t>
        </is>
      </c>
      <c r="K123" s="2" t="inlineStr">
        <is>
          <t>doi</t>
        </is>
      </c>
    </row>
    <row r="124">
      <c r="A124" s="2" t="n">
        <v>123</v>
      </c>
      <c r="B124" s="2" t="inlineStr">
        <is>
          <t>Sham2025</t>
        </is>
      </c>
      <c r="C124" s="3" t="inlineStr">
        <is>
          <t>Improving rainfall forecasting using deep learning data fusing model approach for observed and climate change data</t>
        </is>
      </c>
      <c r="D124" s="3" t="inlineStr">
        <is>
          <t>Farhan Amir Fardush Sham and Ahmed El-Shafie and Wan Zurina Binti Wan Jaafar and S. Adarsh and Mohsen Sherif and Ali Najah Ahmed</t>
        </is>
      </c>
      <c r="E124" s="2" t="n">
        <v>2025</v>
      </c>
      <c r="F124" s="3" t="inlineStr">
        <is>
          <t>Scientific Reports</t>
        </is>
      </c>
      <c r="G124" s="2" t="inlineStr">
        <is>
          <t>MY</t>
        </is>
      </c>
      <c r="H124" s="2" t="n">
        <v>10</v>
      </c>
      <c r="I124" s="2" t="inlineStr">
        <is>
          <t>10.1038/s41598-025-13567-2</t>
        </is>
      </c>
      <c r="J124" s="2" t="inlineStr">
        <is>
          <t>W4412777509</t>
        </is>
      </c>
      <c r="K124" s="2" t="inlineStr">
        <is>
          <t>doi</t>
        </is>
      </c>
    </row>
    <row r="125">
      <c r="A125" s="2" t="n">
        <v>124</v>
      </c>
      <c r="B125" s="2" t="inlineStr">
        <is>
          <t>johny2026</t>
        </is>
      </c>
      <c r="C125" s="3" t="inlineStr">
        <is>
          <t>Bridging physics and machine learning: AI-enhanced WRF ensemble approach to extreme rainfall prediction</t>
        </is>
      </c>
      <c r="D125" s="3" t="inlineStr">
        <is>
          <t>Johny, Kavya and Manoj, M.G. and Fathima C, Rasla and Shaji, Ashish and Sharma, Omveer</t>
        </is>
      </c>
      <c r="E125" s="2" t="n">
        <v>2026</v>
      </c>
      <c r="F125" s="3" t="inlineStr">
        <is>
          <t>Applied Soft Computing</t>
        </is>
      </c>
      <c r="G125" s="2" t="inlineStr">
        <is>
          <t>India</t>
        </is>
      </c>
      <c r="H125" s="2" t="n">
        <v>0</v>
      </c>
      <c r="I125" s="2" t="inlineStr">
        <is>
          <t>10.1016/j.asoc.2026.115212</t>
        </is>
      </c>
      <c r="J125" s="2" t="inlineStr">
        <is>
          <t>W7152988020</t>
        </is>
      </c>
      <c r="K125" s="2" t="inlineStr">
        <is>
          <t>doi</t>
        </is>
      </c>
    </row>
    <row r="126">
      <c r="A126" s="2" t="n">
        <v>125</v>
      </c>
      <c r="B126" s="2" t="inlineStr">
        <is>
          <t>ref4_mse_bias</t>
        </is>
      </c>
      <c r="C126" s="3" t="inlineStr">
        <is>
          <t>Enhancing Machine Learning Models for Nowcasting and Short‐Term Forecasting of Precipitation With a Novel Probability‐Matching Loss Function</t>
        </is>
      </c>
      <c r="D126" s="3" t="inlineStr">
        <is>
          <t>Cao, Yuan and Li, Shuaiyi and Feng, Jie and Chen, Lei and Li, Hao and Zhang, Yijun</t>
        </is>
      </c>
      <c r="E126" s="2" t="n">
        <v>2025</v>
      </c>
      <c r="F126" s="3" t="inlineStr">
        <is>
          <t>Geophysical Research Letters</t>
        </is>
      </c>
      <c r="G126" s="2" t="inlineStr">
        <is>
          <t>China</t>
        </is>
      </c>
      <c r="H126" s="2" t="n">
        <v>1</v>
      </c>
      <c r="I126" s="2" t="inlineStr">
        <is>
          <t>10.1029/2025gl119442</t>
        </is>
      </c>
      <c r="J126" s="2" t="inlineStr">
        <is>
          <t>W4417398361</t>
        </is>
      </c>
      <c r="K126" s="2" t="inlineStr">
        <is>
          <t>doi</t>
        </is>
      </c>
    </row>
    <row r="127">
      <c r="A127" s="2" t="n">
        <v>126</v>
      </c>
      <c r="B127" s="2" t="inlineStr">
        <is>
          <t>ref5_aifs_precip_bias</t>
        </is>
      </c>
      <c r="C127" s="3" t="inlineStr">
        <is>
          <t>Comparative Analysis of Precipitation Forecasts between the ECMWF Artificial Intelligence System (AIFS) and Its Integrated Forecast System (IFS)</t>
        </is>
      </c>
      <c r="D127" s="3" t="inlineStr">
        <is>
          <t>Liujie Pan and Hongfang Zhang and Mian Liang and Peirong Li and Congqi Cao and Lili Du and Jing Liu</t>
        </is>
      </c>
      <c r="E127" s="2" t="n">
        <v>2025</v>
      </c>
      <c r="F127" s="3" t="inlineStr">
        <is>
          <t>Weather and Forecasting</t>
        </is>
      </c>
      <c r="G127" s="2" t="inlineStr">
        <is>
          <t>China</t>
        </is>
      </c>
      <c r="H127" s="2" t="n">
        <v>5</v>
      </c>
      <c r="I127" s="2" t="inlineStr">
        <is>
          <t>10.1175/waf-d-24-0227.1</t>
        </is>
      </c>
      <c r="J127" s="2" t="inlineStr">
        <is>
          <t>W4411375784</t>
        </is>
      </c>
      <c r="K127" s="2" t="inlineStr">
        <is>
          <t>doi</t>
        </is>
      </c>
    </row>
    <row r="128">
      <c r="A128" s="2" t="n">
        <v>127</v>
      </c>
      <c r="B128" s="2" t="inlineStr">
        <is>
          <t>ref6_pangu_extremes</t>
        </is>
      </c>
      <c r="C128" s="3" t="inlineStr">
        <is>
          <t>Improvement of disastrous extreme precipitation forecasting in North China by Pangu-weather AI-driven regional WRF model</t>
        </is>
      </c>
      <c r="D128" s="3" t="inlineStr">
        <is>
          <t>Xu, Hongxiong and others</t>
        </is>
      </c>
      <c r="E128" s="2" t="n">
        <v>2024</v>
      </c>
      <c r="F128" s="3" t="inlineStr">
        <is>
          <t>Environmental Research Letters</t>
        </is>
      </c>
      <c r="G128" s="2" t="inlineStr">
        <is>
          <t>China</t>
        </is>
      </c>
      <c r="H128" s="2" t="n">
        <v>62</v>
      </c>
      <c r="I128" s="2" t="inlineStr">
        <is>
          <t>10.1088/1748-9326/ad41f0</t>
        </is>
      </c>
      <c r="J128" s="2" t="inlineStr">
        <is>
          <t>W4395026284</t>
        </is>
      </c>
      <c r="K128" s="2" t="inlineStr">
        <is>
          <t>doi</t>
        </is>
      </c>
    </row>
    <row r="129">
      <c r="A129" s="2" t="n">
        <v>128</v>
      </c>
      <c r="B129" s="2" t="inlineStr">
        <is>
          <t>Shirali2020</t>
        </is>
      </c>
      <c r="C129" s="3" t="inlineStr">
        <is>
          <t>Evaluation of WRF and artificial intelligence models in short-term rainfall, temperature and flood forecast (case study)</t>
        </is>
      </c>
      <c r="D129" s="3" t="inlineStr">
        <is>
          <t>Emadeddin Shirali and Alireza Nikbakht Shahbazi and Hossein Fathian and Narges Zohrabi and Elham Mobarak Hassan</t>
        </is>
      </c>
      <c r="E129" s="2" t="n">
        <v>2020</v>
      </c>
      <c r="F129" s="3" t="inlineStr">
        <is>
          <t>Journal of Earth System Science</t>
        </is>
      </c>
      <c r="G129" s="2" t="inlineStr">
        <is>
          <t>Iran</t>
        </is>
      </c>
      <c r="H129" s="2" t="n">
        <v>16</v>
      </c>
      <c r="I129" s="2" t="inlineStr">
        <is>
          <t>10.1007/s12040-020-01450-9</t>
        </is>
      </c>
      <c r="J129" s="2" t="inlineStr">
        <is>
          <t>W3084423830</t>
        </is>
      </c>
      <c r="K129" s="2" t="inlineStr">
        <is>
          <t>doi</t>
        </is>
      </c>
    </row>
    <row r="130">
      <c r="A130" s="2" t="n">
        <v>129</v>
      </c>
      <c r="B130" s="2" t="inlineStr">
        <is>
          <t>Zhongwe2026</t>
        </is>
      </c>
      <c r="C130" s="3" t="inlineStr">
        <is>
          <t>Physics-based models outperform AI weather forecasts of record-breaking extremes</t>
        </is>
      </c>
      <c r="D130" s="3" t="inlineStr">
        <is>
          <t>Zhongwei Zhang and Erich Fischer and Jakob Zscheischler and Sebastian Engelke</t>
        </is>
      </c>
      <c r="E130" s="2" t="n">
        <v>2026</v>
      </c>
      <c r="F130" s="3" t="inlineStr">
        <is>
          <t>Science Advances</t>
        </is>
      </c>
      <c r="G130" s="2" t="inlineStr">
        <is>
          <t>Switzerland</t>
        </is>
      </c>
      <c r="H130" s="2" t="n">
        <v>0</v>
      </c>
      <c r="I130" s="2" t="inlineStr">
        <is>
          <t>10.1126/sciadv.aec1433</t>
        </is>
      </c>
      <c r="J130" s="2" t="inlineStr">
        <is>
          <t>W7158534923</t>
        </is>
      </c>
      <c r="K130" s="2" t="inlineStr">
        <is>
          <t>doi</t>
        </is>
      </c>
    </row>
    <row r="131">
      <c r="A131" s="2" t="n">
        <v>130</v>
      </c>
      <c r="B131" s="2" t="inlineStr">
        <is>
          <t>charltonperez2024ciaran</t>
        </is>
      </c>
      <c r="C131" s="3" t="inlineStr">
        <is>
          <t>Do AI models produce better weather forecasts than physics-based models? A quantitative evaluation case study of Storm Ciar\'an</t>
        </is>
      </c>
      <c r="D131" s="3" t="inlineStr">
        <is>
          <t>Andrew J. Charlton-Perez and Helen F. Dacre and Simon Driscoll and Suzanne L. Gray and Ben Harvey and Natalie J. Harvey and Kieran M. R. Hunt and Robert W. Lee and Ranjini Swaminathan and Remy Vandaele and Ambrogio Volonté</t>
        </is>
      </c>
      <c r="E131" s="2" t="inlineStr">
        <is>
          <t>2024</t>
        </is>
      </c>
      <c r="F131" s="3" t="inlineStr"/>
      <c r="G131" s="2" t="inlineStr"/>
      <c r="H131" s="2" t="inlineStr">
        <is>
          <t>not indexed</t>
        </is>
      </c>
      <c r="I131" s="2" t="inlineStr"/>
      <c r="J131" s="2" t="inlineStr"/>
      <c r="K131" s="2" t="inlineStr">
        <is>
          <t>none</t>
        </is>
      </c>
    </row>
    <row r="132">
      <c r="A132" s="2" t="n">
        <v>131</v>
      </c>
      <c r="B132" s="2" t="inlineStr">
        <is>
          <t>aiextremes2025</t>
        </is>
      </c>
      <c r="C132" s="3" t="inlineStr">
        <is>
          <t>Physics-based models outperform AI weather forecasts of record-breaking extremes</t>
        </is>
      </c>
      <c r="D132" s="3" t="inlineStr">
        <is>
          <t>Zhongwei Zhang and Erich Fischer and Jakob Zscheischler and Sebastian Engelke</t>
        </is>
      </c>
      <c r="E132" s="2" t="n">
        <v>2026</v>
      </c>
      <c r="F132" s="3" t="inlineStr">
        <is>
          <t>Science Advances</t>
        </is>
      </c>
      <c r="G132" s="2" t="inlineStr">
        <is>
          <t>Switzerland</t>
        </is>
      </c>
      <c r="H132" s="2" t="n">
        <v>0</v>
      </c>
      <c r="I132" s="2" t="inlineStr">
        <is>
          <t>10.1126/sciadv.aec1433</t>
        </is>
      </c>
      <c r="J132" s="2" t="inlineStr">
        <is>
          <t>W7158534923</t>
        </is>
      </c>
      <c r="K132" s="2" t="inlineStr">
        <is>
          <t>doi</t>
        </is>
      </c>
    </row>
    <row r="133">
      <c r="A133" s="2" t="n">
        <v>132</v>
      </c>
      <c r="B133" s="2" t="inlineStr">
        <is>
          <t>Spiridonov2020</t>
        </is>
      </c>
      <c r="C133" s="3" t="inlineStr">
        <is>
          <t>Prediction of extreme convective rainfall intensities using a free-running 3-D sub-km-scale cloud model initialized from WRF km-scale NWP forecasts</t>
        </is>
      </c>
      <c r="D133" s="3" t="inlineStr">
        <is>
          <t>Spiridonov, V. and Baez, J. and Telenta, B. and Jakimovski, B.</t>
        </is>
      </c>
      <c r="E133" s="2" t="n">
        <v>2020</v>
      </c>
      <c r="F133" s="3" t="inlineStr">
        <is>
          <t>Journal of Atmospheric and Solar-Terrestrial Physics</t>
        </is>
      </c>
      <c r="G133" s="2" t="inlineStr">
        <is>
          <t>North Macedonia</t>
        </is>
      </c>
      <c r="H133" s="2" t="n">
        <v>22</v>
      </c>
      <c r="I133" s="2" t="inlineStr">
        <is>
          <t>10.1016/j.jastp.2020.105401</t>
        </is>
      </c>
      <c r="J133" s="2" t="inlineStr">
        <is>
          <t>W3047871009</t>
        </is>
      </c>
      <c r="K133" s="2" t="inlineStr">
        <is>
          <t>doi</t>
        </is>
      </c>
    </row>
    <row r="134">
      <c r="A134" s="2" t="n">
        <v>133</v>
      </c>
      <c r="B134" s="2" t="inlineStr">
        <is>
          <t>Zhang2020CombiningPredictions</t>
        </is>
      </c>
      <c r="C134" s="3" t="inlineStr">
        <is>
          <t>Combining Postprocessed Ensemble Weather Forecasts and Multiple Hydrological Models for Ensemble Streamflow Predictions</t>
        </is>
      </c>
      <c r="D134" s="3" t="inlineStr">
        <is>
          <t>Zhang, Jianke and Chen, Jie and Li, Xiangquan and Chen, Hua and Xie, Ping and Li, Wei</t>
        </is>
      </c>
      <c r="E134" s="2" t="n">
        <v>2019</v>
      </c>
      <c r="F134" s="3" t="inlineStr">
        <is>
          <t>Journal of Hydrologic Engineering</t>
        </is>
      </c>
      <c r="G134" s="2" t="inlineStr">
        <is>
          <t>China</t>
        </is>
      </c>
      <c r="H134" s="2" t="n">
        <v>29</v>
      </c>
      <c r="I134" s="2" t="inlineStr">
        <is>
          <t>10.1061/(asce)he.1943-5584.0001871</t>
        </is>
      </c>
      <c r="J134" s="2" t="inlineStr">
        <is>
          <t>W2984221951</t>
        </is>
      </c>
      <c r="K134" s="2" t="inlineStr">
        <is>
          <t>title</t>
        </is>
      </c>
    </row>
    <row r="135">
      <c r="A135" s="2" t="n">
        <v>134</v>
      </c>
      <c r="B135" s="2" t="inlineStr">
        <is>
          <t>Awol2021</t>
        </is>
      </c>
      <c r="C135" s="3" t="inlineStr">
        <is>
          <t>Identification of Combined Hydrological Models and Numerical Weather Predictions for Enhanced Flood Forecasting in a Semiurban Watershed</t>
        </is>
      </c>
      <c r="D135" s="3" t="inlineStr">
        <is>
          <t>Awol, F.S. and Coulibaly, P. and Tsanis, I.</t>
        </is>
      </c>
      <c r="E135" s="2" t="n">
        <v>2020</v>
      </c>
      <c r="F135" s="3" t="inlineStr">
        <is>
          <t>Journal of Hydrologic Engineering</t>
        </is>
      </c>
      <c r="G135" s="2" t="inlineStr">
        <is>
          <t>Canada</t>
        </is>
      </c>
      <c r="H135" s="2" t="n">
        <v>22</v>
      </c>
      <c r="I135" s="2" t="inlineStr">
        <is>
          <t>10.1061/(asce)he.1943-5584.0002018</t>
        </is>
      </c>
      <c r="J135" s="2" t="inlineStr">
        <is>
          <t>W3095174791</t>
        </is>
      </c>
      <c r="K135" s="2" t="inlineStr">
        <is>
          <t>doi</t>
        </is>
      </c>
    </row>
    <row r="136">
      <c r="A136" s="2" t="n">
        <v>135</v>
      </c>
      <c r="B136" s="2" t="inlineStr">
        <is>
          <t>Davis2022</t>
        </is>
      </c>
      <c r="C136" s="3" t="inlineStr">
        <is>
          <t>A Flood Forecasting Framework Coupling a High Resolution WRF Ensemble With an Urban Hydrologic Model</t>
        </is>
      </c>
      <c r="D136" s="3" t="inlineStr">
        <is>
          <t>Davis, S. and Pentakota, L. and Saptarishy, N. and Mujumdar, P.P.</t>
        </is>
      </c>
      <c r="E136" s="2" t="n">
        <v>2022</v>
      </c>
      <c r="F136" s="3" t="inlineStr">
        <is>
          <t>Frontiers in Earth Science</t>
        </is>
      </c>
      <c r="G136" s="2" t="inlineStr">
        <is>
          <t>India</t>
        </is>
      </c>
      <c r="H136" s="2" t="n">
        <v>21</v>
      </c>
      <c r="I136" s="2" t="inlineStr">
        <is>
          <t>10.3389/feart.2022.883842</t>
        </is>
      </c>
      <c r="J136" s="2" t="inlineStr">
        <is>
          <t>W4281384551</t>
        </is>
      </c>
      <c r="K136" s="2" t="inlineStr">
        <is>
          <t>doi</t>
        </is>
      </c>
    </row>
    <row r="137">
      <c r="A137" s="2" t="n">
        <v>136</v>
      </c>
      <c r="B137" s="2" t="inlineStr">
        <is>
          <t>Wu2014325</t>
        </is>
      </c>
      <c r="C137" s="3" t="inlineStr">
        <is>
          <t>Flood forecasts based on multi-model ensemble precipitation forecasting using a coupled atmospheric-hydrological modeling system</t>
        </is>
      </c>
      <c r="D137" s="3" t="inlineStr">
        <is>
          <t>Wu, J. and Lu, G. and Wu, Z.</t>
        </is>
      </c>
      <c r="E137" s="2" t="n">
        <v>2014</v>
      </c>
      <c r="F137" s="3" t="inlineStr">
        <is>
          <t>Natural Hazards</t>
        </is>
      </c>
      <c r="G137" s="2" t="inlineStr">
        <is>
          <t>China</t>
        </is>
      </c>
      <c r="H137" s="2" t="n">
        <v>37</v>
      </c>
      <c r="I137" s="2" t="inlineStr">
        <is>
          <t>10.1007/s11069-014-1204-6</t>
        </is>
      </c>
      <c r="J137" s="2" t="inlineStr">
        <is>
          <t>W2086201173</t>
        </is>
      </c>
      <c r="K137" s="2" t="inlineStr">
        <is>
          <t>doi</t>
        </is>
      </c>
    </row>
    <row r="138">
      <c r="A138" s="2" t="n">
        <v>137</v>
      </c>
      <c r="B138" s="2" t="inlineStr">
        <is>
          <t>LauraPoletti20193823</t>
        </is>
      </c>
      <c r="C138" s="3" t="inlineStr">
        <is>
          <t>Using nowcasting technique and data assimilation in a meteorological model to improve very short range hydrological forecasts</t>
        </is>
      </c>
      <c r="D138" s="3" t="inlineStr">
        <is>
          <t>Laura Poletti, M. and Silvestro, F. and Davolio, S. and Pignone, F. and Rebora, N.</t>
        </is>
      </c>
      <c r="E138" s="2" t="n">
        <v>2019</v>
      </c>
      <c r="F138" s="3" t="inlineStr">
        <is>
          <t>Hydrology and earth system sciences</t>
        </is>
      </c>
      <c r="G138" s="2" t="inlineStr">
        <is>
          <t>Italy</t>
        </is>
      </c>
      <c r="H138" s="2" t="n">
        <v>52</v>
      </c>
      <c r="I138" s="2" t="inlineStr">
        <is>
          <t>10.5194/hess-23-3823-2019</t>
        </is>
      </c>
      <c r="J138" s="2" t="inlineStr">
        <is>
          <t>W2919814211</t>
        </is>
      </c>
      <c r="K138" s="2" t="inlineStr">
        <is>
          <t>doi</t>
        </is>
      </c>
    </row>
    <row r="139">
      <c r="A139" s="2" t="n">
        <v>138</v>
      </c>
      <c r="B139" s="2" t="inlineStr">
        <is>
          <t>Giannaros2022</t>
        </is>
      </c>
      <c r="C139" s="3" t="inlineStr">
        <is>
          <t>Hydrometeorological analysis of a flash flood event in an ungauged Mediterranean watershed under an operational forecasting and monitoring context</t>
        </is>
      </c>
      <c r="D139" s="3" t="inlineStr">
        <is>
          <t>Giannaros, C. and Dafis, S. and Stefanidis, S. and Giannaros, T.M. and Koletsis, I. and Oikonomou, C.</t>
        </is>
      </c>
      <c r="E139" s="2" t="n">
        <v>2022</v>
      </c>
      <c r="F139" s="3" t="inlineStr">
        <is>
          <t>Meteorological Applications</t>
        </is>
      </c>
      <c r="G139" s="2" t="inlineStr">
        <is>
          <t>CY</t>
        </is>
      </c>
      <c r="H139" s="2" t="n">
        <v>32</v>
      </c>
      <c r="I139" s="2" t="inlineStr">
        <is>
          <t>10.1002/met.2079</t>
        </is>
      </c>
      <c r="J139" s="2" t="inlineStr">
        <is>
          <t>W4289531761</t>
        </is>
      </c>
      <c r="K139" s="2" t="inlineStr">
        <is>
          <t>doi</t>
        </is>
      </c>
    </row>
    <row r="140">
      <c r="A140" s="2" t="n">
        <v>139</v>
      </c>
      <c r="B140" s="2" t="inlineStr">
        <is>
          <t>Chowdhury2023</t>
        </is>
      </c>
      <c r="C140" s="3" t="inlineStr">
        <is>
          <t>An efficient flash flood forecasting system for the un-gaged Meghna basin using open source platform Delft-FEWS</t>
        </is>
      </c>
      <c r="D140" s="3" t="inlineStr">
        <is>
          <t>Chowdhury, M.E. and Islam, A.S. and Lemans, M. and Hegnauer, M. and Sajib, A.R. and Pieu, N.M. and Das, M.K. and Shadia, N. and Haque, A. and Roy, B. and Billah, M. and Abdullah, F. and Mamoon, W.B. and Kaiser, S. and Bala, S.K. and Islam, G.M.T. and Sarker, G.C. and Rahman, S. and Bhuyan, A.</t>
        </is>
      </c>
      <c r="E140" s="2" t="n">
        <v>2022</v>
      </c>
      <c r="F140" s="3" t="inlineStr">
        <is>
          <t>Environmental Modelling &amp; Software</t>
        </is>
      </c>
      <c r="G140" s="2" t="inlineStr">
        <is>
          <t>Bangladesh</t>
        </is>
      </c>
      <c r="H140" s="2" t="n">
        <v>17</v>
      </c>
      <c r="I140" s="2" t="inlineStr">
        <is>
          <t>10.1016/j.envsoft.2022.105614</t>
        </is>
      </c>
      <c r="J140" s="2" t="inlineStr">
        <is>
          <t>W4312205872</t>
        </is>
      </c>
      <c r="K140" s="2" t="inlineStr">
        <is>
          <t>doi</t>
        </is>
      </c>
    </row>
    <row r="141">
      <c r="A141" s="2" t="n">
        <v>140</v>
      </c>
      <c r="B141" s="2" t="inlineStr">
        <is>
          <t>Siddique20151390</t>
        </is>
      </c>
      <c r="C141" s="3" t="inlineStr">
        <is>
          <t>Verification of precipitation forecasts from two numerical weather prediction models in the Middle Atlantic Region of the USA: A precursory analysis to hydrologic forecasting</t>
        </is>
      </c>
      <c r="D141" s="3" t="inlineStr">
        <is>
          <t>Siddique, R. and Mejia, A. and Brown, J. and Reed, S. and Ahnert, P.</t>
        </is>
      </c>
      <c r="E141" s="2" t="n">
        <v>2015</v>
      </c>
      <c r="F141" s="3" t="inlineStr">
        <is>
          <t>Journal of Hydrology</t>
        </is>
      </c>
      <c r="G141" s="2" t="inlineStr">
        <is>
          <t>United States</t>
        </is>
      </c>
      <c r="H141" s="2" t="n">
        <v>40</v>
      </c>
      <c r="I141" s="2" t="inlineStr">
        <is>
          <t>10.1016/j.jhydrol.2015.08.042</t>
        </is>
      </c>
      <c r="J141" s="2" t="inlineStr">
        <is>
          <t>W1212289281</t>
        </is>
      </c>
      <c r="K141" s="2" t="inlineStr">
        <is>
          <t>doi</t>
        </is>
      </c>
    </row>
    <row r="142">
      <c r="A142" s="2" t="n">
        <v>141</v>
      </c>
      <c r="B142" s="2" t="inlineStr">
        <is>
          <t>Jabbari2020</t>
        </is>
      </c>
      <c r="C142" s="3" t="inlineStr">
        <is>
          <t>Precipitation Forecast Contribution Assessment in the Coupled Meteo-Hydrological Models</t>
        </is>
      </c>
      <c r="D142" s="3" t="inlineStr">
        <is>
          <t>Jabbari, A. and So, J.-M. and Bae, D.-H.</t>
        </is>
      </c>
      <c r="E142" s="2" t="n">
        <v>2019</v>
      </c>
      <c r="F142" s="3" t="inlineStr">
        <is>
          <t>Atmosphere</t>
        </is>
      </c>
      <c r="G142" s="2" t="inlineStr">
        <is>
          <t>South Korea</t>
        </is>
      </c>
      <c r="H142" s="2" t="n">
        <v>22</v>
      </c>
      <c r="I142" s="2" t="inlineStr">
        <is>
          <t>10.3390/atmos11010034</t>
        </is>
      </c>
      <c r="J142" s="2" t="inlineStr">
        <is>
          <t>W2998112438</t>
        </is>
      </c>
      <c r="K142" s="2" t="inlineStr">
        <is>
          <t>doi</t>
        </is>
      </c>
    </row>
    <row r="143">
      <c r="A143" s="2" t="n">
        <v>142</v>
      </c>
      <c r="B143" s="2" t="inlineStr">
        <is>
          <t>Goswami20181029</t>
        </is>
      </c>
      <c r="C143" s="3" t="inlineStr">
        <is>
          <t>Use of rainfall forecast from a high-resolution global NWP model in a hydrological stream flow model over Narmada river basin during monsoon</t>
        </is>
      </c>
      <c r="D143" s="3" t="inlineStr">
        <is>
          <t>Goswami, S.B. and Bal, P.K. and Mitra, A.K.</t>
        </is>
      </c>
      <c r="E143" s="2" t="n">
        <v>2018</v>
      </c>
      <c r="F143" s="3" t="inlineStr">
        <is>
          <t>Modeling Earth Systems and Environment</t>
        </is>
      </c>
      <c r="G143" s="2" t="inlineStr">
        <is>
          <t>India</t>
        </is>
      </c>
      <c r="H143" s="2" t="n">
        <v>12</v>
      </c>
      <c r="I143" s="2" t="inlineStr">
        <is>
          <t>10.1007/s40808-018-0436-y</t>
        </is>
      </c>
      <c r="J143" s="2" t="inlineStr">
        <is>
          <t>W2791082621</t>
        </is>
      </c>
      <c r="K143" s="2" t="inlineStr">
        <is>
          <t>doi</t>
        </is>
      </c>
    </row>
    <row r="144">
      <c r="A144" s="2" t="n">
        <v>143</v>
      </c>
      <c r="B144" s="2" t="inlineStr">
        <is>
          <t>Barcellos2020</t>
        </is>
      </c>
      <c r="C144" s="3" t="inlineStr">
        <is>
          <t>Flash Flood and Extreme Rainfall Forecast through One-Way Coupling of WRF-SMAP Models: Natural Hazards in Rio de Janeiro State</t>
        </is>
      </c>
      <c r="D144" s="3" t="inlineStr">
        <is>
          <t>Barcellos, P.C.L. and Cataldi, M.</t>
        </is>
      </c>
      <c r="E144" s="2" t="n">
        <v>2020</v>
      </c>
      <c r="F144" s="3" t="inlineStr">
        <is>
          <t>Atmosphere</t>
        </is>
      </c>
      <c r="G144" s="2" t="inlineStr">
        <is>
          <t>Brazil</t>
        </is>
      </c>
      <c r="H144" s="2" t="n">
        <v>35</v>
      </c>
      <c r="I144" s="2" t="inlineStr">
        <is>
          <t>10.3390/atmos11080834</t>
        </is>
      </c>
      <c r="J144" s="2" t="inlineStr">
        <is>
          <t>W3048113872</t>
        </is>
      </c>
      <c r="K144" s="2" t="inlineStr">
        <is>
          <t>doi</t>
        </is>
      </c>
    </row>
    <row r="145">
      <c r="A145" s="2" t="n">
        <v>144</v>
      </c>
      <c r="B145" s="2" t="inlineStr">
        <is>
          <t>Mathias2015506</t>
        </is>
      </c>
      <c r="C145" s="3" t="inlineStr">
        <is>
          <t>A soil moisture accounting-procedure with a Richards' equation-based soil texture-dependent parameterization</t>
        </is>
      </c>
      <c r="D145" s="3" t="inlineStr">
        <is>
          <t>Mathias, S.A. and Skaggs, T.H. and Quinn, S.A. and Egan, S.N.C. and Finch, L.E. and Oldham, C.D.</t>
        </is>
      </c>
      <c r="E145" s="2" t="n">
        <v>2014</v>
      </c>
      <c r="F145" s="3" t="inlineStr">
        <is>
          <t>Water Resources Research</t>
        </is>
      </c>
      <c r="G145" s="2" t="inlineStr">
        <is>
          <t>United Kingdom</t>
        </is>
      </c>
      <c r="H145" s="2" t="n">
        <v>37</v>
      </c>
      <c r="I145" s="2" t="inlineStr">
        <is>
          <t>10.1002/2014wr016144</t>
        </is>
      </c>
      <c r="J145" s="2" t="inlineStr">
        <is>
          <t>W2058812500</t>
        </is>
      </c>
      <c r="K145" s="2" t="inlineStr">
        <is>
          <t>doi</t>
        </is>
      </c>
    </row>
    <row r="146">
      <c r="A146" s="2" t="n">
        <v>145</v>
      </c>
      <c r="B146" s="2" t="inlineStr">
        <is>
          <t>Sanz-Ramos2018FloodModel</t>
        </is>
      </c>
      <c r="C146" s="3" t="inlineStr">
        <is>
          <t>Flood forecasting using a coupled hydrological and hydraulic model (based on FVM) and highresolution meteorological model</t>
        </is>
      </c>
      <c r="D146" s="3" t="inlineStr">
        <is>
          <t>Sanz-Ramos, Marcos and Amengual, Arnau and Bladé, Ernest and Romero, Romu and Roux, Hélène</t>
        </is>
      </c>
      <c r="E146" s="2" t="n">
        <v>2018</v>
      </c>
      <c r="F146" s="3" t="inlineStr">
        <is>
          <t>E3S Web of Conferences</t>
        </is>
      </c>
      <c r="G146" s="2" t="inlineStr">
        <is>
          <t>Spain</t>
        </is>
      </c>
      <c r="H146" s="2" t="n">
        <v>29</v>
      </c>
      <c r="I146" s="2" t="inlineStr">
        <is>
          <t>10.1051/e3sconf/20184006028</t>
        </is>
      </c>
      <c r="J146" s="2" t="inlineStr">
        <is>
          <t>W2891454244</t>
        </is>
      </c>
      <c r="K146" s="2" t="inlineStr">
        <is>
          <t>doi</t>
        </is>
      </c>
    </row>
    <row r="147">
      <c r="A147" s="2" t="n">
        <v>146</v>
      </c>
      <c r="B147" s="2" t="inlineStr">
        <is>
          <t>ElKhalki2020</t>
        </is>
      </c>
      <c r="C147" s="3" t="inlineStr">
        <is>
          <t>Validation of the AROME, ALADIN and WRF Meteorological Models for Flood Forecasting in Morocco</t>
        </is>
      </c>
      <c r="D147" s="3" t="inlineStr">
        <is>
          <t>El Khalki, E.M. and Tramblay, Y. and Amengual, A. and Homar, V. and Romero, R. and Saidi, M.E.M. and Alaou, M.</t>
        </is>
      </c>
      <c r="E147" s="2" t="n">
        <v>2020</v>
      </c>
      <c r="F147" s="3" t="inlineStr">
        <is>
          <t>Water</t>
        </is>
      </c>
      <c r="G147" s="2" t="inlineStr">
        <is>
          <t>Morocco</t>
        </is>
      </c>
      <c r="H147" s="2" t="n">
        <v>22</v>
      </c>
      <c r="I147" s="2" t="inlineStr">
        <is>
          <t>10.3390/w12020437</t>
        </is>
      </c>
      <c r="J147" s="2" t="inlineStr">
        <is>
          <t>W3005440863</t>
        </is>
      </c>
      <c r="K147" s="2" t="inlineStr">
        <is>
          <t>doi</t>
        </is>
      </c>
    </row>
    <row r="148">
      <c r="A148" s="2" t="n">
        <v>147</v>
      </c>
      <c r="B148" s="2" t="inlineStr">
        <is>
          <t>Snook2019781</t>
        </is>
      </c>
      <c r="C148" s="3" t="inlineStr">
        <is>
          <t>Evaluation of Convection-Permitting Precipitation Forecast Products Using WRF, NMMB, and FV3 for the 2016–17 NOAA Hydrometeorology Testbed Flash Flood and Intense Rainfall Experiments</t>
        </is>
      </c>
      <c r="D148" s="3" t="inlineStr">
        <is>
          <t>Snook, N. and Kong, F. and Brewster, K.A. and Xue, M. and Thomas, K.W. and Supinie, T.A. and Perfater, S. and Albright, B.</t>
        </is>
      </c>
      <c r="E148" s="2" t="n">
        <v>2019</v>
      </c>
      <c r="F148" s="3" t="inlineStr">
        <is>
          <t>Weather and Forecasting</t>
        </is>
      </c>
      <c r="G148" s="2" t="inlineStr">
        <is>
          <t>United States</t>
        </is>
      </c>
      <c r="H148" s="2" t="n">
        <v>36</v>
      </c>
      <c r="I148" s="2" t="inlineStr">
        <is>
          <t>10.1175/waf-d-18-0155.1</t>
        </is>
      </c>
      <c r="J148" s="2" t="inlineStr">
        <is>
          <t>W2942898286</t>
        </is>
      </c>
      <c r="K148" s="2" t="inlineStr">
        <is>
          <t>doi</t>
        </is>
      </c>
    </row>
    <row r="149">
      <c r="A149" s="2" t="n">
        <v>148</v>
      </c>
      <c r="B149" s="2" t="inlineStr">
        <is>
          <t>SarahTrojniak20212021Results</t>
        </is>
      </c>
      <c r="C149" s="3" t="inlineStr">
        <is>
          <t>2021 Flash Flood and Intense Rainfall (FFaIR) Experiment:Executive Summary</t>
        </is>
      </c>
      <c r="D149" s="3" t="inlineStr">
        <is>
          <t>Sarah Trojniak, James Correia Jr., and Jim Nelson</t>
        </is>
      </c>
      <c r="E149" s="2" t="inlineStr">
        <is>
          <t>2021</t>
        </is>
      </c>
      <c r="F149" s="3" t="inlineStr"/>
      <c r="G149" s="2" t="inlineStr"/>
      <c r="H149" s="2" t="inlineStr">
        <is>
          <t>not indexed</t>
        </is>
      </c>
      <c r="I149" s="2" t="inlineStr"/>
      <c r="J149" s="2" t="inlineStr"/>
      <c r="K149" s="2" t="inlineStr">
        <is>
          <t>none</t>
        </is>
      </c>
    </row>
    <row r="150">
      <c r="A150" s="2" t="n">
        <v>149</v>
      </c>
      <c r="B150" s="2" t="inlineStr">
        <is>
          <t>Hsiao201355</t>
        </is>
      </c>
      <c r="C150" s="3" t="inlineStr">
        <is>
          <t>Ensemble forecasting of typhoon rainfall and floods over a mountainous watershed in Taiwan</t>
        </is>
      </c>
      <c r="D150" s="3" t="inlineStr">
        <is>
          <t>Hsiao, L.-F. and Yang, M.-J. and Lee, C.-S. and Kuo, H.-C. and Shih, D.-S. and Tsai, C.-C. and Wang, C.-J. and Chang, L.-Y. and Chen, D.Y.C. and Feng, L. and Hong, J.-S. and Fong, C.-T. and Chen, D.-S. and Yeh, T.-C. and Huang, C.-Y. and Guo, W.-D. and Lin, G.-F.</t>
        </is>
      </c>
      <c r="E150" s="2" t="n">
        <v>2013</v>
      </c>
      <c r="F150" s="3" t="inlineStr">
        <is>
          <t>Journal of Hydrology</t>
        </is>
      </c>
      <c r="G150" s="2" t="inlineStr">
        <is>
          <t>Taiwan</t>
        </is>
      </c>
      <c r="H150" s="2" t="n">
        <v>102</v>
      </c>
      <c r="I150" s="2" t="inlineStr">
        <is>
          <t>10.1016/j.jhydrol.2013.08.046</t>
        </is>
      </c>
      <c r="J150" s="2" t="inlineStr">
        <is>
          <t>W2008757278</t>
        </is>
      </c>
      <c r="K150" s="2" t="inlineStr">
        <is>
          <t>doi</t>
        </is>
      </c>
    </row>
    <row r="151">
      <c r="A151" s="2" t="n">
        <v>150</v>
      </c>
      <c r="B151" s="2" t="inlineStr">
        <is>
          <t>Yeh1998AWASH12D</t>
        </is>
      </c>
      <c r="C151" s="3" t="inlineStr">
        <is>
          <t>A Numerical Model Simulating Flow, Contaminant, and Sediment Transport in Watershed Systems (WASH12D)</t>
        </is>
      </c>
      <c r="D151" s="3" t="inlineStr">
        <is>
          <t>Yeh, Gour-Tsyh and Cheng, Hwai-Ping and Cheng, Ruth</t>
        </is>
      </c>
      <c r="E151" s="2" t="inlineStr">
        <is>
          <t>1998</t>
        </is>
      </c>
      <c r="F151" s="3" t="inlineStr"/>
      <c r="G151" s="2" t="inlineStr"/>
      <c r="H151" s="2" t="inlineStr">
        <is>
          <t>not indexed</t>
        </is>
      </c>
      <c r="I151" s="2" t="inlineStr"/>
      <c r="J151" s="2" t="inlineStr"/>
      <c r="K151" s="2" t="inlineStr">
        <is>
          <t>none</t>
        </is>
      </c>
    </row>
    <row r="152">
      <c r="A152" s="2" t="n">
        <v>151</v>
      </c>
      <c r="B152" s="2" t="inlineStr">
        <is>
          <t>rehman2024wrflisflood</t>
        </is>
      </c>
      <c r="C152" s="3" t="inlineStr">
        <is>
          <t>Assessing the Added Value of High-Resolution NWP for Flood Forecasting: A Comparative Study of the 2021 Luxembourg Event</t>
        </is>
      </c>
      <c r="D152" s="3" t="inlineStr">
        <is>
          <t>ur Rehman, Haseeb and Teferle, F\'elicia Norma Rebecca and Schumann, Guy</t>
        </is>
      </c>
      <c r="E152" s="2" t="n">
        <v>2026</v>
      </c>
      <c r="F152" s="3" t="inlineStr">
        <is>
          <t>SSRN Electronic Journal</t>
        </is>
      </c>
      <c r="G152" s="2" t="inlineStr">
        <is>
          <t>Luxembourg</t>
        </is>
      </c>
      <c r="H152" s="2" t="n">
        <v>0</v>
      </c>
      <c r="I152" s="2" t="inlineStr">
        <is>
          <t>10.2139/ssrn.6845376</t>
        </is>
      </c>
      <c r="J152" s="2" t="inlineStr">
        <is>
          <t>W7162640383</t>
        </is>
      </c>
      <c r="K152" s="2" t="inlineStr">
        <is>
          <t>title</t>
        </is>
      </c>
    </row>
    <row r="153">
      <c r="A153" s="2" t="n">
        <v>152</v>
      </c>
      <c r="B153" s="2" t="inlineStr">
        <is>
          <t>rehman2024wrfai</t>
        </is>
      </c>
      <c r="C153" s="3" t="inlineStr">
        <is>
          <t>Physics vs.\ AI in Weather Prediction: Evaluating GraphCast, AIFS, and FuXi against an Observation-Corrected WRF Model for Flash Floods</t>
        </is>
      </c>
      <c r="D153" s="3" t="inlineStr">
        <is>
          <t>ur Rehman, Haseeb and Teferle, F\'elicia N. R.</t>
        </is>
      </c>
      <c r="E153" s="2" t="inlineStr">
        <is>
          <t>2026</t>
        </is>
      </c>
      <c r="F153" s="3" t="inlineStr">
        <is>
          <t>Geoscientific Model Development</t>
        </is>
      </c>
      <c r="G153" s="2" t="inlineStr"/>
      <c r="H153" s="2" t="inlineStr">
        <is>
          <t>not indexed</t>
        </is>
      </c>
      <c r="I153" s="2" t="inlineStr"/>
      <c r="J153" s="2" t="inlineStr"/>
      <c r="K153" s="2" t="inlineStr">
        <is>
          <t>none</t>
        </is>
      </c>
    </row>
  </sheetData>
  <autoFilter ref="A1:K1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8" customWidth="1" min="1" max="1"/>
    <col width="14" customWidth="1" min="2" max="2"/>
  </cols>
  <sheetData>
    <row r="1">
      <c r="A1" s="4" t="inlineStr">
        <is>
          <t>Bibliometric Summary - Literature Review Chapter</t>
        </is>
      </c>
    </row>
    <row r="3">
      <c r="A3" s="5" t="inlineStr">
        <is>
          <t>Total references cited in chapter</t>
        </is>
      </c>
      <c r="B3" s="6">
        <f>COUNTA('Bibliometric Table'!B2:B153)</f>
        <v/>
      </c>
    </row>
    <row r="4">
      <c r="A4" s="5" t="inlineStr">
        <is>
          <t>Matched in OpenAlex</t>
        </is>
      </c>
      <c r="B4" s="6">
        <f>COUNTIF('Bibliometric Table'!K2:K153,"doi")+COUNTIF('Bibliometric Table'!K2:K153,"title")</f>
        <v/>
      </c>
    </row>
    <row r="5">
      <c r="A5" s="5" t="inlineStr">
        <is>
          <t>Matched by DOI</t>
        </is>
      </c>
      <c r="B5" s="6">
        <f>COUNTIF('Bibliometric Table'!K2:K153,"doi")</f>
        <v/>
      </c>
    </row>
    <row r="6">
      <c r="A6" s="5" t="inlineStr">
        <is>
          <t>Matched by title search</t>
        </is>
      </c>
      <c r="B6" s="6">
        <f>COUNTIF('Bibliometric Table'!K2:K153,"title")</f>
        <v/>
      </c>
    </row>
    <row r="7">
      <c r="A7" s="5" t="inlineStr">
        <is>
          <t>Not indexed (reports/datasets/web)</t>
        </is>
      </c>
      <c r="B7" s="6">
        <f>COUNTIF('Bibliometric Table'!K2:K153,"none")</f>
        <v/>
      </c>
    </row>
    <row r="8">
      <c r="A8" s="5" t="inlineStr">
        <is>
          <t>Total citations across matched works</t>
        </is>
      </c>
      <c r="B8" s="6">
        <f>SUM('Bibliometric Table'!H2:H153)</f>
        <v/>
      </c>
    </row>
    <row r="10">
      <c r="A10" s="7" t="inlineStr">
        <is>
          <t>Data source: OpenAlex API (https://api.openalex.org), retrieved 10 July 2026. Every row is cross-checkable via its OpenAlex ID / DOI.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2026-07-10T09:06:24Z</dcterms:created>
  <dcterms:modified xmlns:dcterms="http://purl.org/dc/terms/" xmlns:xsi="http://www.w3.org/2001/XMLSchema-instance" xsi:type="dcterms:W3CDTF">2026-07-10T09:06:24Z</dcterms:modified>
</cp:coreProperties>
</file>